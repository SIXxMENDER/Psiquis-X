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.freelance\BLAXTER\Psiquis_X\data\reports\"/>
    </mc:Choice>
  </mc:AlternateContent>
  <xr:revisionPtr revIDLastSave="0" documentId="13_ncr:1_{8B41880A-E5FB-4D6B-A70E-4E53D4850A69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eet" sheetId="1" r:id="rId1"/>
    <sheet name="Executive Dashboard" sheetId="2" r:id="rId2"/>
    <sheet name="Cohort Analysis (Variance)" sheetId="3" r:id="rId3"/>
    <sheet name="Raw Data Traceabilit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<sst xmlns="http://schemas.openxmlformats.org/spreadsheetml/2006/main" count="248" uniqueCount="65">
  <si>
    <t>NVIDIA: ENTERPRISE CFO FINANCIAL COHERENCE AUDIT</t>
  </si>
  <si>
    <t>Period</t>
  </si>
  <si>
    <t>Total Revenue</t>
  </si>
  <si>
    <t>Operating Expenses</t>
  </si>
  <si>
    <t>FY24</t>
  </si>
  <si>
    <t>Audit Confidence Score:</t>
  </si>
  <si>
    <t>98 / 100</t>
  </si>
  <si>
    <t>FY25</t>
  </si>
  <si>
    <t>FY26</t>
  </si>
  <si>
    <t>Financial Performance Summary</t>
  </si>
  <si>
    <t>Details:</t>
  </si>
  <si>
    <t>Nvidia has demonstrated exceptional financial performance, achieving a 65.5% increase in total revenue to $215.9B in FY26, following a 114.2% surge in FY25. This top-line hyper-growth translated directly to the bottom line, with net income rising 64.8% to $120.1B in FY26. The results reflect a period of unprecedented expansion and market leadership.</t>
  </si>
  <si>
    <t>Efficiency &amp; Cost Structure</t>
  </si>
  <si>
    <t>The company is exhibiting powerful operational leverage, with revenue growth significantly outpacing operating expense growth in consecutive years. In FY26, revenues grew 65.5% while opex increased by a more controlled 40.7%. This efficiency has driven operating margins to expand from 81.4% in FY24 to 89.3% in FY26, showcasing remarkable scalability and cost discipline amidst rapid growth.</t>
  </si>
  <si>
    <t>Risk Signals</t>
  </si>
  <si>
    <t>A minor risk of margin compression has emerged in FY26. While profitability remains incredibly strong, the net income growth rate (64.8%) slightly trailed the revenue growth rate (65.5%). This is corroborated by a reported decrease in gross margin from 75.0% to 71.1% YoY. While not immediately alarming, this trend warrants monitoring to ensure long-term profitability scaling.</t>
  </si>
  <si>
    <t>Strategic Outlook</t>
  </si>
  <si>
    <t>Strong Expansion</t>
  </si>
  <si>
    <t>Psiquis-X: Performance &amp; Framework Audit</t>
  </si>
  <si>
    <t>Total Pipeline Latency:</t>
  </si>
  <si>
    <t>290.33 seconds</t>
  </si>
  <si>
    <t>Engine Lifecycle (Nodes):</t>
  </si>
  <si>
    <t>INVESTIGATOR (221.7s) -&gt; PROSECUTOR (30.0s) -&gt; JUDGE (0.0s) -&gt; CFO_NARRATOR (38.6s)</t>
  </si>
  <si>
    <t>Metric Name</t>
  </si>
  <si>
    <t>Comparison Period</t>
  </si>
  <si>
    <t>Variance Growth %</t>
  </si>
  <si>
    <t>Coherence Flag</t>
  </si>
  <si>
    <t>FY26 vs FY25 (YoY)</t>
  </si>
  <si>
    <t>Operational Leverage</t>
  </si>
  <si>
    <t>Net Income</t>
  </si>
  <si>
    <t>Margin Compression Risk</t>
  </si>
  <si>
    <t>OK</t>
  </si>
  <si>
    <t>Operating Margin</t>
  </si>
  <si>
    <t>Positive Expansion</t>
  </si>
  <si>
    <t>FY25 vs FY24 (YoY)</t>
  </si>
  <si>
    <t>Fiscal Year</t>
  </si>
  <si>
    <t>Value (Billions)</t>
  </si>
  <si>
    <t>GAAP Standard</t>
  </si>
  <si>
    <t>Source File</t>
  </si>
  <si>
    <t>Page Reference</t>
  </si>
  <si>
    <t>Literal Snippet</t>
  </si>
  <si>
    <t>GAAP</t>
  </si>
  <si>
    <t>Nvidia_Presentation_Q4_FY26.pdf</t>
  </si>
  <si>
    <t>37</t>
  </si>
  <si>
    <t>Revenue $ 215,938 $ 130,497 Up 65%</t>
  </si>
  <si>
    <t>Gross Margin</t>
  </si>
  <si>
    <t>Gross margin 71.1 % 75.0 % -3.9 pts</t>
  </si>
  <si>
    <t>Operating expenses $ 23,076 $ 16,405 Up 41%</t>
  </si>
  <si>
    <t>Net income $ 120,067 $ 72,880 Up 65%</t>
  </si>
  <si>
    <t>Earnings Per Share</t>
  </si>
  <si>
    <t>Net income per diluted share $ 4.90 $ 2.94 Up 67%</t>
  </si>
  <si>
    <t>41</t>
  </si>
  <si>
    <t>Gross margins decreased to 71.1% in fiscal year 2026</t>
  </si>
  <si>
    <t>from 75.0% in fiscal year 2025</t>
  </si>
  <si>
    <t>Total operating expenses $ 23,076</t>
  </si>
  <si>
    <t>Total operating expenses $ 23,076 $ 16,405</t>
  </si>
  <si>
    <t>51</t>
  </si>
  <si>
    <t>Revenue $ 215,938 $ 130,497 $ 60,922</t>
  </si>
  <si>
    <t>Total operating expenses 23,076 16,405 11,329</t>
  </si>
  <si>
    <t>Net income $ 120,067 $ 72,880 $ 29,760</t>
  </si>
  <si>
    <t>EPS Basic</t>
  </si>
  <si>
    <t>Basic $ 4.93 $ 2.97 $ 1.21</t>
  </si>
  <si>
    <t>EPS Diluted</t>
  </si>
  <si>
    <t>Diluted $ 4.90 $ 2.94 $ 1.19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</si>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</sst>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\$* #,##0.0_);_(\$* \(#,##0.0\);_(\$* &quot;-&quot;??_);_(@_)"/>
  </numFmts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4"/>
      <color rgb="FF00B050"/>
      <name val="Calibri"/>
    </font>
    <font>
      <i/>
      <sz val="9"/>
      <name val="Calibri"/>
    </font>
    <font>
      <b/>
      <sz val="12"/>
      <color rgb="FFFFFFFF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2" fillId="3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6" fillId="5" borderId="0" xfId="0" applyFont="1" applyFill="1"/>
    <xf numFmtId="0" fontId="7" fillId="6" borderId="0" xfId="0" applyFont="1" applyFill="1"/>
    <xf numFmtId="165" fontId="0" fillId="0" borderId="0" xfId="0" applyNumberFormat="1"/>
    <xf numFmtId="0" fontId="8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Revenue vs Operating Expenses (Billions)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Dashboard'!$K$2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Dashboard'!$J$3:$J$5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</c:strCache>
            </c:strRef>
          </c:cat>
          <c:val>
            <c:numRef>
              <c:f>'Executive Dashboard'!$K$3:$K$5</c:f>
              <c:numCache>
                <c:formatCode>General</c:formatCode>
                <c:ptCount val="3"/>
                <c:pt idx="0">
                  <c:v>60.921999999999997</c:v>
                </c:pt>
                <c:pt idx="1">
                  <c:v>130.49700000000001</c:v>
                </c:pt>
                <c:pt idx="2">
                  <c:v>215.93799999999999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A-4B5C-ACD1-E9B8D2E06864}"/>
            </c:ext>
          </c:extLst>
        </c:ser>
        <c:ser>
          <c:idx val="1"/>
          <c:order val="1"/>
          <c:tx>
            <c:strRef>
              <c:f>'Executive Dashboard'!$L$2</c:f>
              <c:strCache>
                <c:ptCount val="1"/>
                <c:pt idx="0">
                  <c:v>Operating Expenses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Dashboard'!$J$3:$J$5</c:f>
              <c:strCache>
                <c:ptCount val="3"/>
                <c:pt idx="0">
                  <c:v>FY24</c:v>
                </c:pt>
                <c:pt idx="1">
                  <c:v>FY25</c:v>
                </c:pt>
                <c:pt idx="2">
                  <c:v>FY26</c:v>
                </c:pt>
              </c:strCache>
            </c:strRef>
          </c:cat>
          <c:val>
            <c:numRef>
              <c:f>'Executive Dashboard'!$L$3:$L$5</c:f>
              <c:numCache>
                <c:formatCode>General</c:formatCode>
                <c:ptCount val="3"/>
                <c:pt idx="0">
                  <c:v>11.329000000000001</c:v>
                </c:pt>
                <c:pt idx="1">
                  <c:v>16.405000000000001</c:v>
                </c:pt>
                <c:pt idx="2">
                  <c:v>23.076000000000001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A-4B5C-ACD1-E9B8D2E06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Fiscal Period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Billions 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Nvidia_Presentation_Q4_FY26.pdf" TargetMode="External"/><Relationship Id="rId13" Type="http://schemas.openxmlformats.org/officeDocument/2006/relationships/hyperlink" Target="../../Nvidia_Presentation_Q4_FY26.pdf" TargetMode="External"/><Relationship Id="rId18" Type="http://schemas.openxmlformats.org/officeDocument/2006/relationships/hyperlink" Target="../../Nvidia_Presentation_Q4_FY26.pdf" TargetMode="External"/><Relationship Id="rId26" Type="http://schemas.openxmlformats.org/officeDocument/2006/relationships/hyperlink" Target="../../Nvidia_Presentation_Q4_FY26.pdf" TargetMode="External"/><Relationship Id="rId3" Type="http://schemas.openxmlformats.org/officeDocument/2006/relationships/hyperlink" Target="../../Nvidia_Presentation_Q4_FY26.pdf" TargetMode="External"/><Relationship Id="rId21" Type="http://schemas.openxmlformats.org/officeDocument/2006/relationships/hyperlink" Target="../../Nvidia_Presentation_Q4_FY26.pdf" TargetMode="External"/><Relationship Id="rId7" Type="http://schemas.openxmlformats.org/officeDocument/2006/relationships/hyperlink" Target="../../Nvidia_Presentation_Q4_FY26.pdf" TargetMode="External"/><Relationship Id="rId12" Type="http://schemas.openxmlformats.org/officeDocument/2006/relationships/hyperlink" Target="../../Nvidia_Presentation_Q4_FY26.pdf" TargetMode="External"/><Relationship Id="rId17" Type="http://schemas.openxmlformats.org/officeDocument/2006/relationships/hyperlink" Target="../../Nvidia_Presentation_Q4_FY26.pdf" TargetMode="External"/><Relationship Id="rId25" Type="http://schemas.openxmlformats.org/officeDocument/2006/relationships/hyperlink" Target="../../Nvidia_Presentation_Q4_FY26.pdf" TargetMode="External"/><Relationship Id="rId2" Type="http://schemas.openxmlformats.org/officeDocument/2006/relationships/hyperlink" Target="../../Nvidia_Presentation_Q4_FY26.pdf" TargetMode="External"/><Relationship Id="rId16" Type="http://schemas.openxmlformats.org/officeDocument/2006/relationships/hyperlink" Target="../../Nvidia_Presentation_Q4_FY26.pdf" TargetMode="External"/><Relationship Id="rId20" Type="http://schemas.openxmlformats.org/officeDocument/2006/relationships/hyperlink" Target="../../Nvidia_Presentation_Q4_FY26.pdf" TargetMode="External"/><Relationship Id="rId29" Type="http://schemas.openxmlformats.org/officeDocument/2006/relationships/hyperlink" Target="../../Nvidia_Presentation_Q4_FY26.pdf" TargetMode="External"/><Relationship Id="rId1" Type="http://schemas.openxmlformats.org/officeDocument/2006/relationships/hyperlink" Target="../../Nvidia_Presentation_Q4_FY26.pdf" TargetMode="External"/><Relationship Id="rId6" Type="http://schemas.openxmlformats.org/officeDocument/2006/relationships/hyperlink" Target="../../Nvidia_Presentation_Q4_FY26.pdf" TargetMode="External"/><Relationship Id="rId11" Type="http://schemas.openxmlformats.org/officeDocument/2006/relationships/hyperlink" Target="../../Nvidia_Presentation_Q4_FY26.pdf" TargetMode="External"/><Relationship Id="rId24" Type="http://schemas.openxmlformats.org/officeDocument/2006/relationships/hyperlink" Target="../../Nvidia_Presentation_Q4_FY26.pdf" TargetMode="External"/><Relationship Id="rId32" Type="http://schemas.openxmlformats.org/officeDocument/2006/relationships/hyperlink" Target="../../Nvidia_Presentation_Q4_FY26.pdf" TargetMode="External"/><Relationship Id="rId5" Type="http://schemas.openxmlformats.org/officeDocument/2006/relationships/hyperlink" Target="../../Nvidia_Presentation_Q4_FY26.pdf" TargetMode="External"/><Relationship Id="rId15" Type="http://schemas.openxmlformats.org/officeDocument/2006/relationships/hyperlink" Target="../../Nvidia_Presentation_Q4_FY26.pdf" TargetMode="External"/><Relationship Id="rId23" Type="http://schemas.openxmlformats.org/officeDocument/2006/relationships/hyperlink" Target="../../Nvidia_Presentation_Q4_FY26.pdf" TargetMode="External"/><Relationship Id="rId28" Type="http://schemas.openxmlformats.org/officeDocument/2006/relationships/hyperlink" Target="../../Nvidia_Presentation_Q4_FY26.pdf" TargetMode="External"/><Relationship Id="rId10" Type="http://schemas.openxmlformats.org/officeDocument/2006/relationships/hyperlink" Target="../../Nvidia_Presentation_Q4_FY26.pdf" TargetMode="External"/><Relationship Id="rId19" Type="http://schemas.openxmlformats.org/officeDocument/2006/relationships/hyperlink" Target="../../Nvidia_Presentation_Q4_FY26.pdf" TargetMode="External"/><Relationship Id="rId31" Type="http://schemas.openxmlformats.org/officeDocument/2006/relationships/hyperlink" Target="../../Nvidia_Presentation_Q4_FY26.pdf" TargetMode="External"/><Relationship Id="rId4" Type="http://schemas.openxmlformats.org/officeDocument/2006/relationships/hyperlink" Target="../../Nvidia_Presentation_Q4_FY26.pdf" TargetMode="External"/><Relationship Id="rId9" Type="http://schemas.openxmlformats.org/officeDocument/2006/relationships/hyperlink" Target="../../Nvidia_Presentation_Q4_FY26.pdf" TargetMode="External"/><Relationship Id="rId14" Type="http://schemas.openxmlformats.org/officeDocument/2006/relationships/hyperlink" Target="../../Nvidia_Presentation_Q4_FY26.pdf" TargetMode="External"/><Relationship Id="rId22" Type="http://schemas.openxmlformats.org/officeDocument/2006/relationships/hyperlink" Target="../../Nvidia_Presentation_Q4_FY26.pdf" TargetMode="External"/><Relationship Id="rId27" Type="http://schemas.openxmlformats.org/officeDocument/2006/relationships/hyperlink" Target="../../Nvidia_Presentation_Q4_FY26.pdf" TargetMode="External"/><Relationship Id="rId30" Type="http://schemas.openxmlformats.org/officeDocument/2006/relationships/hyperlink" Target="../../Nvidia_Presentation_Q4_FY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1"/>
  <sheetViews>
    <sheetView topLeftCell="A3" workbookViewId="0">
      <selection activeCell="C17" sqref="C17:C19"/>
    </sheetView>
  </sheetViews>
  <sheetFormatPr baseColWidth="10" defaultColWidth="8.88671875" defaultRowHeight="14.4" x14ac:dyDescent="0.3"/>
  <cols>
    <col min="1" max="1" width="3" customWidth="1"/>
    <col min="2" max="2" width="30" customWidth="1"/>
    <col min="3" max="3" width="80" customWidth="1"/>
  </cols>
  <sheetData>
    <row r="2" spans="2:12" ht="21" x14ac:dyDescent="0.4">
      <c r="B2" s="14" t="s">
        <v>0</v>
      </c>
      <c r="C2" s="15"/>
      <c r="J2" t="s">
        <v>1</v>
      </c>
      <c r="K2" t="s">
        <v>2</v>
      </c>
      <c r="L2" t="s">
        <v>3</v>
      </c>
    </row>
    <row r="3" spans="2:12" x14ac:dyDescent="0.3">
      <c r="J3" t="s">
        <v>4</v>
      </c>
      <c r="K3">
        <v>60.921999999999997</v>
      </c>
      <c r="L3">
        <v>11.329000000000001</v>
      </c>
    </row>
    <row r="4" spans="2:12" ht="18" x14ac:dyDescent="0.35">
      <c r="B4" s="1" t="s">
        <v>5</v>
      </c>
      <c r="C4" s="2" t="s">
        <v>6</v>
      </c>
      <c r="J4" t="s">
        <v>7</v>
      </c>
      <c r="K4">
        <v>130.49700000000001</v>
      </c>
      <c r="L4">
        <v>16.405000000000001</v>
      </c>
    </row>
    <row r="5" spans="2:12" x14ac:dyDescent="0.3">
      <c r="J5" t="s">
        <v>8</v>
      </c>
      <c r="K5">
        <v>215.93799999999999</v>
      </c>
      <c r="L5">
        <v>23.076000000000001</v>
      </c>
    </row>
    <row r="7" spans="2:12" x14ac:dyDescent="0.3">
      <c r="B7" s="3" t="s">
        <v>9</v>
      </c>
    </row>
    <row r="8" spans="2:12" ht="60" customHeight="1" x14ac:dyDescent="0.3">
      <c r="B8" t="s">
        <v>10</v>
      </c>
      <c r="C8" s="4" t="s">
        <v>11</v>
      </c>
    </row>
    <row r="10" spans="2:12" x14ac:dyDescent="0.3">
      <c r="B10" s="3" t="s">
        <v>12</v>
      </c>
    </row>
    <row r="11" spans="2:12" ht="60" customHeight="1" x14ac:dyDescent="0.3">
      <c r="B11" t="s">
        <v>10</v>
      </c>
      <c r="C11" s="4" t="s">
        <v>13</v>
      </c>
    </row>
    <row r="13" spans="2:12" x14ac:dyDescent="0.3">
      <c r="B13" s="3" t="s">
        <v>14</v>
      </c>
    </row>
    <row r="14" spans="2:12" ht="60" customHeight="1" x14ac:dyDescent="0.3">
      <c r="B14" t="s">
        <v>10</v>
      </c>
      <c r="C14" s="4" t="s">
        <v>15</v>
      </c>
    </row>
    <row r="16" spans="2:12" x14ac:dyDescent="0.3">
      <c r="B16" s="3" t="s">
        <v>16</v>
      </c>
    </row>
    <row r="17" spans="2:3" ht="60" customHeight="1" x14ac:dyDescent="0.3">
      <c r="B17" t="s">
        <v>10</v>
      </c>
      <c r="C17" s="4" t="s">
        <v>17</v>
      </c>
    </row>
    <row r="19" spans="2:3" x14ac:dyDescent="0.3">
      <c r="B19" s="5" t="s">
        <v>18</v>
      </c>
    </row>
    <row r="20" spans="2:3" x14ac:dyDescent="0.3">
      <c r="B20" t="s">
        <v>19</v>
      </c>
      <c r="C20" t="s">
        <v>20</v>
      </c>
    </row>
    <row r="21" spans="2:3" x14ac:dyDescent="0.3">
      <c r="B21" t="s">
        <v>21</v>
      </c>
      <c r="C21" s="6" t="s">
        <v>22</v>
      </c>
    </row>
  </sheetData>
  <mergeCells count="1">
    <mergeCell ref="B2:C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8.88671875" defaultRowHeight="14.4" x14ac:dyDescent="0.3"/>
  <cols>
    <col min="1" max="4" width="30" customWidth="1"/>
  </cols>
  <sheetData>
    <row r="1" spans="1:4" ht="15.6" x14ac:dyDescent="0.3">
      <c r="A1" s="7" t="s">
        <v>23</v>
      </c>
      <c r="B1" s="7" t="s">
        <v>24</v>
      </c>
      <c r="C1" s="7" t="s">
        <v>25</v>
      </c>
      <c r="D1" s="7" t="s">
        <v>26</v>
      </c>
    </row>
    <row r="2" spans="1:4" x14ac:dyDescent="0.3">
      <c r="A2" t="s">
        <v>2</v>
      </c>
      <c r="B2" s="8" t="s">
        <v>27</v>
      </c>
      <c r="C2" s="9">
        <v>0.65469999999999995</v>
      </c>
      <c r="D2" s="10" t="s">
        <v>28</v>
      </c>
    </row>
    <row r="3" spans="1:4" x14ac:dyDescent="0.3">
      <c r="A3" t="s">
        <v>29</v>
      </c>
      <c r="B3" s="8" t="s">
        <v>27</v>
      </c>
      <c r="C3" s="9">
        <v>0.64749999999999996</v>
      </c>
      <c r="D3" s="11" t="s">
        <v>30</v>
      </c>
    </row>
    <row r="4" spans="1:4" x14ac:dyDescent="0.3">
      <c r="A4" t="s">
        <v>3</v>
      </c>
      <c r="B4" s="8" t="s">
        <v>27</v>
      </c>
      <c r="C4" s="9">
        <v>0.40660000000000002</v>
      </c>
      <c r="D4" s="10" t="s">
        <v>31</v>
      </c>
    </row>
    <row r="5" spans="1:4" x14ac:dyDescent="0.3">
      <c r="A5" t="s">
        <v>32</v>
      </c>
      <c r="B5" s="8" t="s">
        <v>27</v>
      </c>
      <c r="C5" s="9">
        <v>2.1499999999999998E-2</v>
      </c>
      <c r="D5" s="10" t="s">
        <v>33</v>
      </c>
    </row>
    <row r="6" spans="1:4" x14ac:dyDescent="0.3">
      <c r="A6" t="s">
        <v>2</v>
      </c>
      <c r="B6" s="8" t="s">
        <v>34</v>
      </c>
      <c r="C6" s="9">
        <v>1.1419999999999999</v>
      </c>
      <c r="D6" s="10" t="s">
        <v>28</v>
      </c>
    </row>
    <row r="7" spans="1:4" x14ac:dyDescent="0.3">
      <c r="A7" t="s">
        <v>29</v>
      </c>
      <c r="B7" s="8" t="s">
        <v>34</v>
      </c>
      <c r="C7" s="9">
        <v>1.4490000000000001</v>
      </c>
      <c r="D7" s="10" t="s">
        <v>33</v>
      </c>
    </row>
    <row r="8" spans="1:4" x14ac:dyDescent="0.3">
      <c r="A8" t="s">
        <v>3</v>
      </c>
      <c r="B8" s="8" t="s">
        <v>34</v>
      </c>
      <c r="C8" s="9">
        <v>0.4481</v>
      </c>
      <c r="D8" s="10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tabSelected="1" topLeftCell="C1" workbookViewId="0">
      <selection activeCell="H5" sqref="H5"/>
    </sheetView>
  </sheetViews>
  <sheetFormatPr baseColWidth="10" defaultColWidth="8.88671875" defaultRowHeight="14.4" x14ac:dyDescent="0.3"/>
  <cols>
    <col min="1" max="1" width="15" customWidth="1"/>
    <col min="2" max="2" width="25" customWidth="1"/>
    <col min="3" max="4" width="20" customWidth="1"/>
    <col min="5" max="5" width="40" customWidth="1"/>
    <col min="6" max="6" width="25" customWidth="1"/>
    <col min="7" max="7" width="80" customWidth="1"/>
  </cols>
  <sheetData>
    <row r="1" spans="1:7" ht="15.6" x14ac:dyDescent="0.3">
      <c r="A1" s="7" t="s">
        <v>35</v>
      </c>
      <c r="B1" s="7" t="s">
        <v>23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</row>
    <row r="2" spans="1:7" ht="45" customHeight="1" x14ac:dyDescent="0.3">
      <c r="A2" s="8" t="s">
        <v>8</v>
      </c>
      <c r="B2" t="s">
        <v>2</v>
      </c>
      <c r="C2" s="12">
        <v>215.93799999999999</v>
      </c>
      <c r="D2" s="8" t="s">
        <v>41</v>
      </c>
      <c r="E2" s="8" t="s">
        <v>42</v>
      </c>
      <c r="F2" s="13">
        <v>37</v>
      </c>
      <c r="G2" s="4" t="s">
        <v>44</v>
      </c>
    </row>
    <row r="3" spans="1:7" ht="45" customHeight="1" x14ac:dyDescent="0.3">
      <c r="A3" s="8" t="s">
        <v>7</v>
      </c>
      <c r="B3" t="s">
        <v>2</v>
      </c>
      <c r="C3" s="12">
        <v>130.49700000000001</v>
      </c>
      <c r="D3" s="8" t="s">
        <v>41</v>
      </c>
      <c r="E3" s="8" t="s">
        <v>42</v>
      </c>
      <c r="F3" s="13" t="s">
        <v>43</v>
      </c>
      <c r="G3" s="4" t="s">
        <v>44</v>
      </c>
    </row>
    <row r="4" spans="1:7" ht="45" customHeight="1" x14ac:dyDescent="0.3">
      <c r="A4" s="8" t="s">
        <v>8</v>
      </c>
      <c r="B4" t="s">
        <v>45</v>
      </c>
      <c r="C4" s="12">
        <v>71.099999999999994</v>
      </c>
      <c r="D4" s="8" t="s">
        <v>41</v>
      </c>
      <c r="E4" s="8" t="s">
        <v>42</v>
      </c>
      <c r="F4" s="13" t="s">
        <v>43</v>
      </c>
      <c r="G4" s="4" t="s">
        <v>46</v>
      </c>
    </row>
    <row r="5" spans="1:7" ht="45" customHeight="1" x14ac:dyDescent="0.3">
      <c r="A5" s="8" t="s">
        <v>7</v>
      </c>
      <c r="B5" t="s">
        <v>45</v>
      </c>
      <c r="C5" s="12">
        <v>75</v>
      </c>
      <c r="D5" s="8" t="s">
        <v>41</v>
      </c>
      <c r="E5" s="8" t="s">
        <v>42</v>
      </c>
      <c r="F5" s="13" t="s">
        <v>43</v>
      </c>
      <c r="G5" s="4" t="s">
        <v>46</v>
      </c>
    </row>
    <row r="6" spans="1:7" ht="45" customHeight="1" x14ac:dyDescent="0.3">
      <c r="A6" s="8" t="s">
        <v>8</v>
      </c>
      <c r="B6" t="s">
        <v>3</v>
      </c>
      <c r="C6" s="12">
        <v>23.076000000000001</v>
      </c>
      <c r="D6" s="8" t="s">
        <v>41</v>
      </c>
      <c r="E6" s="8" t="s">
        <v>42</v>
      </c>
      <c r="F6" s="13" t="s">
        <v>43</v>
      </c>
      <c r="G6" s="4" t="s">
        <v>47</v>
      </c>
    </row>
    <row r="7" spans="1:7" ht="45" customHeight="1" x14ac:dyDescent="0.3">
      <c r="A7" s="8" t="s">
        <v>7</v>
      </c>
      <c r="B7" t="s">
        <v>3</v>
      </c>
      <c r="C7" s="12">
        <v>16.405000000000001</v>
      </c>
      <c r="D7" s="8" t="s">
        <v>41</v>
      </c>
      <c r="E7" s="8" t="s">
        <v>42</v>
      </c>
      <c r="F7" s="13" t="s">
        <v>43</v>
      </c>
      <c r="G7" s="4" t="s">
        <v>47</v>
      </c>
    </row>
    <row r="8" spans="1:7" ht="45" customHeight="1" x14ac:dyDescent="0.3">
      <c r="A8" s="8" t="s">
        <v>8</v>
      </c>
      <c r="B8" t="s">
        <v>29</v>
      </c>
      <c r="C8" s="12">
        <v>120.06699999999999</v>
      </c>
      <c r="D8" s="8" t="s">
        <v>41</v>
      </c>
      <c r="E8" s="8" t="s">
        <v>42</v>
      </c>
      <c r="F8" s="13" t="s">
        <v>43</v>
      </c>
      <c r="G8" s="4" t="s">
        <v>48</v>
      </c>
    </row>
    <row r="9" spans="1:7" ht="45" customHeight="1" x14ac:dyDescent="0.3">
      <c r="A9" s="8" t="s">
        <v>7</v>
      </c>
      <c r="B9" t="s">
        <v>29</v>
      </c>
      <c r="C9" s="12">
        <v>72.88</v>
      </c>
      <c r="D9" s="8" t="s">
        <v>41</v>
      </c>
      <c r="E9" s="8" t="s">
        <v>42</v>
      </c>
      <c r="F9" s="13" t="s">
        <v>43</v>
      </c>
      <c r="G9" s="4" t="s">
        <v>48</v>
      </c>
    </row>
    <row r="10" spans="1:7" ht="45" customHeight="1" x14ac:dyDescent="0.3">
      <c r="A10" s="8" t="s">
        <v>8</v>
      </c>
      <c r="B10" t="s">
        <v>49</v>
      </c>
      <c r="C10" s="12">
        <v>4.9000000000000004</v>
      </c>
      <c r="D10" s="8" t="s">
        <v>41</v>
      </c>
      <c r="E10" s="8" t="s">
        <v>42</v>
      </c>
      <c r="F10" s="13" t="s">
        <v>43</v>
      </c>
      <c r="G10" s="4" t="s">
        <v>50</v>
      </c>
    </row>
    <row r="11" spans="1:7" ht="45" customHeight="1" x14ac:dyDescent="0.3">
      <c r="A11" s="8" t="s">
        <v>7</v>
      </c>
      <c r="B11" t="s">
        <v>49</v>
      </c>
      <c r="C11" s="12">
        <v>2.94</v>
      </c>
      <c r="D11" s="8" t="s">
        <v>41</v>
      </c>
      <c r="E11" s="8" t="s">
        <v>42</v>
      </c>
      <c r="F11" s="13" t="s">
        <v>43</v>
      </c>
      <c r="G11" s="4" t="s">
        <v>50</v>
      </c>
    </row>
    <row r="12" spans="1:7" ht="45" customHeight="1" x14ac:dyDescent="0.3">
      <c r="A12" s="8" t="s">
        <v>8</v>
      </c>
      <c r="B12" t="s">
        <v>45</v>
      </c>
      <c r="C12" s="12">
        <v>0.71099999999999997</v>
      </c>
      <c r="D12" s="8" t="s">
        <v>41</v>
      </c>
      <c r="E12" s="8" t="s">
        <v>42</v>
      </c>
      <c r="F12" s="13" t="s">
        <v>51</v>
      </c>
      <c r="G12" s="4" t="s">
        <v>52</v>
      </c>
    </row>
    <row r="13" spans="1:7" ht="45" customHeight="1" x14ac:dyDescent="0.3">
      <c r="A13" s="8" t="s">
        <v>7</v>
      </c>
      <c r="B13" t="s">
        <v>45</v>
      </c>
      <c r="C13" s="12">
        <v>0.75</v>
      </c>
      <c r="D13" s="8" t="s">
        <v>41</v>
      </c>
      <c r="E13" s="8" t="s">
        <v>42</v>
      </c>
      <c r="F13" s="13" t="s">
        <v>51</v>
      </c>
      <c r="G13" s="4" t="s">
        <v>53</v>
      </c>
    </row>
    <row r="14" spans="1:7" ht="45" customHeight="1" x14ac:dyDescent="0.3">
      <c r="A14" s="8" t="s">
        <v>8</v>
      </c>
      <c r="B14" t="s">
        <v>3</v>
      </c>
      <c r="C14" s="12">
        <v>23.076000000000001</v>
      </c>
      <c r="D14" s="8" t="s">
        <v>41</v>
      </c>
      <c r="E14" s="8" t="s">
        <v>42</v>
      </c>
      <c r="F14" s="13" t="s">
        <v>51</v>
      </c>
      <c r="G14" s="4" t="s">
        <v>54</v>
      </c>
    </row>
    <row r="15" spans="1:7" ht="45" customHeight="1" x14ac:dyDescent="0.3">
      <c r="A15" s="8" t="s">
        <v>7</v>
      </c>
      <c r="B15" t="s">
        <v>3</v>
      </c>
      <c r="C15" s="12">
        <v>16.405000000000001</v>
      </c>
      <c r="D15" s="8" t="s">
        <v>41</v>
      </c>
      <c r="E15" s="8" t="s">
        <v>42</v>
      </c>
      <c r="F15" s="13" t="s">
        <v>51</v>
      </c>
      <c r="G15" s="4" t="s">
        <v>55</v>
      </c>
    </row>
    <row r="16" spans="1:7" ht="45" customHeight="1" x14ac:dyDescent="0.3">
      <c r="A16" s="8" t="s">
        <v>8</v>
      </c>
      <c r="B16" t="s">
        <v>2</v>
      </c>
      <c r="C16" s="12">
        <v>215.93799999999999</v>
      </c>
      <c r="D16" s="8" t="s">
        <v>41</v>
      </c>
      <c r="E16" s="8" t="s">
        <v>42</v>
      </c>
      <c r="F16" s="13" t="s">
        <v>56</v>
      </c>
      <c r="G16" s="4" t="s">
        <v>57</v>
      </c>
    </row>
    <row r="17" spans="1:7" ht="45" customHeight="1" x14ac:dyDescent="0.3">
      <c r="A17" s="8" t="s">
        <v>8</v>
      </c>
      <c r="B17" t="s">
        <v>3</v>
      </c>
      <c r="C17" s="12">
        <v>23.076000000000001</v>
      </c>
      <c r="D17" s="8" t="s">
        <v>41</v>
      </c>
      <c r="E17" s="8" t="s">
        <v>42</v>
      </c>
      <c r="F17" s="13" t="s">
        <v>56</v>
      </c>
      <c r="G17" s="4" t="s">
        <v>58</v>
      </c>
    </row>
    <row r="18" spans="1:7" ht="45" customHeight="1" x14ac:dyDescent="0.3">
      <c r="A18" s="8" t="s">
        <v>8</v>
      </c>
      <c r="B18" t="s">
        <v>29</v>
      </c>
      <c r="C18" s="12">
        <v>120.06699999999999</v>
      </c>
      <c r="D18" s="8" t="s">
        <v>41</v>
      </c>
      <c r="E18" s="8" t="s">
        <v>42</v>
      </c>
      <c r="F18" s="13" t="s">
        <v>56</v>
      </c>
      <c r="G18" s="4" t="s">
        <v>59</v>
      </c>
    </row>
    <row r="19" spans="1:7" ht="45" customHeight="1" x14ac:dyDescent="0.3">
      <c r="A19" s="8" t="s">
        <v>8</v>
      </c>
      <c r="B19" t="s">
        <v>60</v>
      </c>
      <c r="C19" s="12">
        <v>4.93</v>
      </c>
      <c r="D19" s="8" t="s">
        <v>41</v>
      </c>
      <c r="E19" s="8" t="s">
        <v>42</v>
      </c>
      <c r="F19" s="13" t="s">
        <v>56</v>
      </c>
      <c r="G19" s="4" t="s">
        <v>61</v>
      </c>
    </row>
    <row r="20" spans="1:7" ht="45" customHeight="1" x14ac:dyDescent="0.3">
      <c r="A20" s="8" t="s">
        <v>8</v>
      </c>
      <c r="B20" t="s">
        <v>62</v>
      </c>
      <c r="C20" s="12">
        <v>4.9000000000000004</v>
      </c>
      <c r="D20" s="8" t="s">
        <v>41</v>
      </c>
      <c r="E20" s="8" t="s">
        <v>42</v>
      </c>
      <c r="F20" s="13" t="s">
        <v>56</v>
      </c>
      <c r="G20" s="4" t="s">
        <v>63</v>
      </c>
    </row>
    <row r="21" spans="1:7" ht="45" customHeight="1" x14ac:dyDescent="0.3">
      <c r="A21" s="8" t="s">
        <v>7</v>
      </c>
      <c r="B21" t="s">
        <v>2</v>
      </c>
      <c r="C21" s="12">
        <v>130.49700000000001</v>
      </c>
      <c r="D21" s="8" t="s">
        <v>41</v>
      </c>
      <c r="E21" s="8" t="s">
        <v>42</v>
      </c>
      <c r="F21" s="13" t="s">
        <v>56</v>
      </c>
      <c r="G21" s="4" t="s">
        <v>57</v>
      </c>
    </row>
    <row r="22" spans="1:7" ht="45" customHeight="1" x14ac:dyDescent="0.3">
      <c r="A22" s="8" t="s">
        <v>7</v>
      </c>
      <c r="B22" t="s">
        <v>3</v>
      </c>
      <c r="C22" s="12">
        <v>16.405000000000001</v>
      </c>
      <c r="D22" s="8" t="s">
        <v>41</v>
      </c>
      <c r="E22" s="8" t="s">
        <v>42</v>
      </c>
      <c r="F22" s="13" t="s">
        <v>56</v>
      </c>
      <c r="G22" s="4" t="s">
        <v>58</v>
      </c>
    </row>
    <row r="23" spans="1:7" ht="45" customHeight="1" x14ac:dyDescent="0.3">
      <c r="A23" s="8" t="s">
        <v>7</v>
      </c>
      <c r="B23" t="s">
        <v>29</v>
      </c>
      <c r="C23" s="12">
        <v>72.88</v>
      </c>
      <c r="D23" s="8" t="s">
        <v>41</v>
      </c>
      <c r="E23" s="8" t="s">
        <v>42</v>
      </c>
      <c r="F23" s="13" t="s">
        <v>56</v>
      </c>
      <c r="G23" s="4" t="s">
        <v>59</v>
      </c>
    </row>
    <row r="24" spans="1:7" ht="45" customHeight="1" x14ac:dyDescent="0.3">
      <c r="A24" s="8" t="s">
        <v>7</v>
      </c>
      <c r="B24" t="s">
        <v>60</v>
      </c>
      <c r="C24" s="12">
        <v>2.97</v>
      </c>
      <c r="D24" s="8" t="s">
        <v>41</v>
      </c>
      <c r="E24" s="8" t="s">
        <v>42</v>
      </c>
      <c r="F24" s="13" t="s">
        <v>56</v>
      </c>
      <c r="G24" s="4" t="s">
        <v>61</v>
      </c>
    </row>
    <row r="25" spans="1:7" ht="45" customHeight="1" x14ac:dyDescent="0.3">
      <c r="A25" s="8" t="s">
        <v>7</v>
      </c>
      <c r="B25" t="s">
        <v>62</v>
      </c>
      <c r="C25" s="12">
        <v>2.94</v>
      </c>
      <c r="D25" s="8" t="s">
        <v>41</v>
      </c>
      <c r="E25" s="8" t="s">
        <v>42</v>
      </c>
      <c r="F25" s="13" t="s">
        <v>56</v>
      </c>
      <c r="G25" s="4" t="s">
        <v>63</v>
      </c>
    </row>
    <row r="26" spans="1:7" ht="45" customHeight="1" x14ac:dyDescent="0.3">
      <c r="A26" s="8" t="s">
        <v>4</v>
      </c>
      <c r="B26" t="s">
        <v>2</v>
      </c>
      <c r="C26" s="12">
        <v>60.921999999999997</v>
      </c>
      <c r="D26" s="8" t="s">
        <v>41</v>
      </c>
      <c r="E26" s="8" t="s">
        <v>42</v>
      </c>
      <c r="F26" s="13" t="s">
        <v>56</v>
      </c>
      <c r="G26" s="4" t="s">
        <v>57</v>
      </c>
    </row>
    <row r="27" spans="1:7" ht="45" customHeight="1" x14ac:dyDescent="0.3">
      <c r="A27" s="8" t="s">
        <v>4</v>
      </c>
      <c r="B27" t="s">
        <v>3</v>
      </c>
      <c r="C27" s="12">
        <v>11.329000000000001</v>
      </c>
      <c r="D27" s="8" t="s">
        <v>41</v>
      </c>
      <c r="E27" s="8" t="s">
        <v>42</v>
      </c>
      <c r="F27" s="13" t="s">
        <v>56</v>
      </c>
      <c r="G27" s="4" t="s">
        <v>58</v>
      </c>
    </row>
    <row r="28" spans="1:7" ht="45" customHeight="1" x14ac:dyDescent="0.3">
      <c r="A28" s="8" t="s">
        <v>4</v>
      </c>
      <c r="B28" t="s">
        <v>29</v>
      </c>
      <c r="C28" s="12">
        <v>29.76</v>
      </c>
      <c r="D28" s="8" t="s">
        <v>41</v>
      </c>
      <c r="E28" s="8" t="s">
        <v>42</v>
      </c>
      <c r="F28" s="13" t="s">
        <v>56</v>
      </c>
      <c r="G28" s="4" t="s">
        <v>59</v>
      </c>
    </row>
    <row r="29" spans="1:7" ht="45" customHeight="1" x14ac:dyDescent="0.3">
      <c r="A29" s="8" t="s">
        <v>4</v>
      </c>
      <c r="B29" t="s">
        <v>60</v>
      </c>
      <c r="C29" s="12">
        <v>1.21</v>
      </c>
      <c r="D29" s="8" t="s">
        <v>41</v>
      </c>
      <c r="E29" s="8" t="s">
        <v>42</v>
      </c>
      <c r="F29" s="13" t="s">
        <v>56</v>
      </c>
      <c r="G29" s="4" t="s">
        <v>61</v>
      </c>
    </row>
    <row r="30" spans="1:7" ht="45" customHeight="1" x14ac:dyDescent="0.3">
      <c r="A30" s="8" t="s">
        <v>4</v>
      </c>
      <c r="B30" t="s">
        <v>62</v>
      </c>
      <c r="C30" s="12">
        <v>1.19</v>
      </c>
      <c r="D30" s="8" t="s">
        <v>41</v>
      </c>
      <c r="E30" s="8" t="s">
        <v>42</v>
      </c>
      <c r="F30" s="13" t="s">
        <v>56</v>
      </c>
      <c r="G30" s="4" t="s">
        <v>63</v>
      </c>
    </row>
    <row r="31" spans="1:7" ht="45" customHeight="1" x14ac:dyDescent="0.3">
      <c r="A31" s="8" t="s">
        <v>8</v>
      </c>
      <c r="B31" t="s">
        <v>29</v>
      </c>
      <c r="C31" s="12">
        <v>120.06699999999999</v>
      </c>
      <c r="D31" s="8" t="s">
        <v>41</v>
      </c>
      <c r="E31" s="8" t="s">
        <v>42</v>
      </c>
      <c r="F31" s="13" t="s">
        <v>64</v>
      </c>
      <c r="G31" s="4" t="s">
        <v>59</v>
      </c>
    </row>
    <row r="32" spans="1:7" ht="45" customHeight="1" x14ac:dyDescent="0.3">
      <c r="A32" s="8" t="s">
        <v>7</v>
      </c>
      <c r="B32" t="s">
        <v>29</v>
      </c>
      <c r="C32" s="12">
        <v>72.88</v>
      </c>
      <c r="D32" s="8" t="s">
        <v>41</v>
      </c>
      <c r="E32" s="8" t="s">
        <v>42</v>
      </c>
      <c r="F32" s="13" t="s">
        <v>64</v>
      </c>
      <c r="G32" s="4" t="s">
        <v>59</v>
      </c>
    </row>
    <row r="33" spans="1:7" ht="45" customHeight="1" x14ac:dyDescent="0.3">
      <c r="A33" s="8" t="s">
        <v>4</v>
      </c>
      <c r="B33" t="s">
        <v>29</v>
      </c>
      <c r="C33" s="12">
        <v>29.76</v>
      </c>
      <c r="D33" s="8" t="s">
        <v>41</v>
      </c>
      <c r="E33" s="8" t="s">
        <v>42</v>
      </c>
      <c r="F33" s="13">
        <v>55</v>
      </c>
      <c r="G33" s="4" t="s">
        <v>59</v>
      </c>
    </row>
  </sheetData>
  <hyperlinks>
    <hyperlink ref="F2" r:id="rId1" display="37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  <hyperlink ref="F13" r:id="rId12" xr:uid="{00000000-0004-0000-0300-00000B000000}"/>
    <hyperlink ref="F14" r:id="rId13" xr:uid="{00000000-0004-0000-0300-00000C000000}"/>
    <hyperlink ref="F15" r:id="rId14" xr:uid="{00000000-0004-0000-0300-00000D000000}"/>
    <hyperlink ref="F16" r:id="rId15" xr:uid="{00000000-0004-0000-0300-00000E000000}"/>
    <hyperlink ref="F17" r:id="rId16" xr:uid="{00000000-0004-0000-0300-00000F000000}"/>
    <hyperlink ref="F18" r:id="rId17" xr:uid="{00000000-0004-0000-0300-000010000000}"/>
    <hyperlink ref="F19" r:id="rId18" xr:uid="{00000000-0004-0000-0300-000011000000}"/>
    <hyperlink ref="F20" r:id="rId19" xr:uid="{00000000-0004-0000-0300-000012000000}"/>
    <hyperlink ref="F21" r:id="rId20" xr:uid="{00000000-0004-0000-0300-000013000000}"/>
    <hyperlink ref="F22" r:id="rId21" xr:uid="{00000000-0004-0000-0300-000014000000}"/>
    <hyperlink ref="F23" r:id="rId22" xr:uid="{00000000-0004-0000-0300-000015000000}"/>
    <hyperlink ref="F24" r:id="rId23" xr:uid="{00000000-0004-0000-0300-000016000000}"/>
    <hyperlink ref="F25" r:id="rId24" xr:uid="{00000000-0004-0000-0300-000017000000}"/>
    <hyperlink ref="F26" r:id="rId25" xr:uid="{00000000-0004-0000-0300-000018000000}"/>
    <hyperlink ref="F27" r:id="rId26" xr:uid="{00000000-0004-0000-0300-000019000000}"/>
    <hyperlink ref="F28" r:id="rId27" xr:uid="{00000000-0004-0000-0300-00001A000000}"/>
    <hyperlink ref="F29" r:id="rId28" xr:uid="{00000000-0004-0000-0300-00001B000000}"/>
    <hyperlink ref="F30" r:id="rId29" xr:uid="{00000000-0004-0000-0300-00001C000000}"/>
    <hyperlink ref="F31" r:id="rId30" xr:uid="{00000000-0004-0000-0300-00001D000000}"/>
    <hyperlink ref="F32" r:id="rId31" xr:uid="{00000000-0004-0000-0300-00001E000000}"/>
    <hyperlink ref="F33" r:id="rId32" display="55" xr:uid="{00000000-0004-0000-0300-00001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</vt:lpstr>
      <vt:lpstr>Executive Dashboard</vt:lpstr>
      <vt:lpstr>Cohort Analysis (Variance)</vt:lpstr>
      <vt:lpstr>Raw Data 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Javier Avendaño Martinez</cp:lastModifiedBy>
  <dcterms:created xsi:type="dcterms:W3CDTF">2026-03-06T05:26:56Z</dcterms:created>
  <dcterms:modified xsi:type="dcterms:W3CDTF">2026-03-06T08:16:56Z</dcterms:modified>
</cp:coreProperties>
</file>