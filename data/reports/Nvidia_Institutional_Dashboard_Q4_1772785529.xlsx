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Executive Dashboard" sheetId="2" state="visible" r:id="rId2"/>
    <sheet name="Cohort Analysis (Variance)" sheetId="3" state="visible" r:id="rId3"/>
    <sheet name="Raw Data Traceability"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_($* #,##0.0_);_($* (#,##0.0);_($* &quot;-&quot;??_);_(@_)"/>
  </numFmts>
  <fonts count="9">
    <font>
      <name val="Calibri"/>
      <family val="2"/>
      <color theme="1"/>
      <sz val="11"/>
      <scheme val="minor"/>
    </font>
    <font>
      <b val="1"/>
      <color rgb="001F4E78"/>
      <sz val="16"/>
    </font>
    <font>
      <b val="1"/>
    </font>
    <font>
      <b val="1"/>
      <color rgb="0000B050"/>
      <sz val="14"/>
    </font>
    <font>
      <i val="1"/>
      <sz val="9"/>
    </font>
    <font>
      <b val="1"/>
      <color rgb="00FFFFFF"/>
      <sz val="12"/>
    </font>
    <font>
      <b val="1"/>
      <color rgb="00006100"/>
    </font>
    <font>
      <b val="1"/>
      <color rgb="009C0006"/>
    </font>
    <font>
      <color rgb="000000FF"/>
      <u val="single"/>
    </font>
  </fonts>
  <fills count="7">
    <fill>
      <patternFill/>
    </fill>
    <fill>
      <patternFill patternType="gray125"/>
    </fill>
    <fill>
      <patternFill patternType="solid">
        <fgColor rgb="00D9E1F2"/>
        <bgColor rgb="00D9E1F2"/>
      </patternFill>
    </fill>
    <fill>
      <patternFill patternType="solid">
        <fgColor rgb="00F2F2F2"/>
        <bgColor rgb="00F2F2F2"/>
      </patternFill>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0" fillId="0" borderId="0" applyAlignment="1" pivotButton="0" quotePrefix="0" xfId="0">
      <alignment vertical="top" wrapText="1"/>
    </xf>
    <xf numFmtId="0" fontId="2" fillId="3" borderId="0" pivotButton="0" quotePrefix="0" xfId="0"/>
    <xf numFmtId="0" fontId="4" fillId="0" borderId="0" pivotButton="0" quotePrefix="0" xfId="0"/>
    <xf numFmtId="0" fontId="5" fillId="4" borderId="0" applyAlignment="1" pivotButton="0" quotePrefix="0" xfId="0">
      <alignment horizontal="center" vertical="center"/>
    </xf>
    <xf numFmtId="0" fontId="0" fillId="0" borderId="0" applyAlignment="1" pivotButton="0" quotePrefix="0" xfId="0">
      <alignment horizontal="center" vertical="center"/>
    </xf>
    <xf numFmtId="164" fontId="0" fillId="0" borderId="0" pivotButton="0" quotePrefix="0" xfId="0"/>
    <xf numFmtId="0" fontId="6" fillId="5" borderId="0" pivotButton="0" quotePrefix="0" xfId="0"/>
    <xf numFmtId="0" fontId="7" fillId="6" borderId="0" pivotButton="0" quotePrefix="0" xfId="0"/>
    <xf numFmtId="165" fontId="0" fillId="0" borderId="0" pivotButton="0" quotePrefix="0" xfId="0"/>
    <xf numFmtId="0" fontId="8"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Revenue vs Operating Expenses (Billions)</a:t>
            </a:r>
          </a:p>
        </rich>
      </tx>
    </title>
    <plotArea>
      <barChart>
        <barDir val="col"/>
        <grouping val="clustered"/>
        <ser>
          <idx val="0"/>
          <order val="0"/>
          <tx>
            <strRef>
              <f>'Executive Dashboard'!K2</f>
            </strRef>
          </tx>
          <spPr>
            <a:ln>
              <a:prstDash val="solid"/>
            </a:ln>
          </spPr>
          <cat>
            <numRef>
              <f>'Executive Dashboard'!$J$3:$J$5</f>
            </numRef>
          </cat>
          <val>
            <numRef>
              <f>'Executive Dashboard'!$K$3:$K$5</f>
            </numRef>
          </val>
        </ser>
        <ser>
          <idx val="1"/>
          <order val="1"/>
          <tx>
            <strRef>
              <f>'Executive Dashboard'!L2</f>
            </strRef>
          </tx>
          <spPr>
            <a:ln>
              <a:prstDash val="solid"/>
            </a:ln>
          </spPr>
          <cat>
            <numRef>
              <f>'Executive Dashboard'!$J$3:$J$5</f>
            </numRef>
          </cat>
          <val>
            <numRef>
              <f>'Executive Dashboard'!$L$3:$L$5</f>
            </numRef>
          </val>
        </ser>
        <gapWidth val="150"/>
        <axId val="10"/>
        <axId val="100"/>
      </barChart>
      <catAx>
        <axId val="10"/>
        <scaling>
          <orientation val="minMax"/>
        </scaling>
        <axPos val="l"/>
        <title>
          <tx>
            <rich>
              <a:bodyPr/>
              <a:p>
                <a:pPr>
                  <a:defRPr/>
                </a:pPr>
                <a:r>
                  <a:t>Fiscal Period</a:t>
                </a:r>
              </a:p>
            </rich>
          </tx>
        </title>
        <majorTickMark val="none"/>
        <minorTickMark val="none"/>
        <crossAx val="100"/>
        <lblOffset val="100"/>
      </catAx>
      <valAx>
        <axId val="100"/>
        <scaling>
          <orientation val="minMax"/>
        </scaling>
        <axPos val="l"/>
        <majorGridlines/>
        <title>
          <tx>
            <rich>
              <a:bodyPr/>
              <a:p>
                <a:pPr>
                  <a:defRPr/>
                </a:pPr>
                <a:r>
                  <a:t>Billions USD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6</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file:///C:/py.freelance/BLAXTER/Psiquis_X/Nvidia_Presentation_Q4_FY26.pdf" TargetMode="External" Id="rId1" /><Relationship Type="http://schemas.openxmlformats.org/officeDocument/2006/relationships/hyperlink" Target="file:///C:/py.freelance/BLAXTER/Psiquis_X/Nvidia_Presentation_Q4_FY26.pdf" TargetMode="External" Id="rId2" /><Relationship Type="http://schemas.openxmlformats.org/officeDocument/2006/relationships/hyperlink" Target="file:///C:/py.freelance/BLAXTER/Psiquis_X/Nvidia_Presentation_Q4_FY26.pdf" TargetMode="External" Id="rId3" /><Relationship Type="http://schemas.openxmlformats.org/officeDocument/2006/relationships/hyperlink" Target="file:///C:/py.freelance/BLAXTER/Psiquis_X/Nvidia_Presentation_Q4_FY26.pdf" TargetMode="External" Id="rId4" /><Relationship Type="http://schemas.openxmlformats.org/officeDocument/2006/relationships/hyperlink" Target="file:///C:/py.freelance/BLAXTER/Psiquis_X/Nvidia_Presentation_Q4_FY26.pdf" TargetMode="External" Id="rId5" /><Relationship Type="http://schemas.openxmlformats.org/officeDocument/2006/relationships/hyperlink" Target="file:///C:/py.freelance/BLAXTER/Psiquis_X/Nvidia_Presentation_Q4_FY26.pdf" TargetMode="External" Id="rId6" /><Relationship Type="http://schemas.openxmlformats.org/officeDocument/2006/relationships/hyperlink" Target="file:///C:/py.freelance/BLAXTER/Psiquis_X/Nvidia_Presentation_Q4_FY26.pdf" TargetMode="External" Id="rId7" /><Relationship Type="http://schemas.openxmlformats.org/officeDocument/2006/relationships/hyperlink" Target="file:///C:/py.freelance/BLAXTER/Psiquis_X/Nvidia_Presentation_Q4_FY26.pdf" TargetMode="External" Id="rId8" /><Relationship Type="http://schemas.openxmlformats.org/officeDocument/2006/relationships/hyperlink" Target="file:///C:/py.freelance/BLAXTER/Psiquis_X/Nvidia_Presentation_Q4_FY26.pdf" TargetMode="External" Id="rId9" /><Relationship Type="http://schemas.openxmlformats.org/officeDocument/2006/relationships/hyperlink" Target="file:///C:/py.freelance/BLAXTER/Psiquis_X/Nvidia_Presentation_Q4_FY26.pdf" TargetMode="External" Id="rId10" /><Relationship Type="http://schemas.openxmlformats.org/officeDocument/2006/relationships/hyperlink" Target="file:///C:/py.freelance/BLAXTER/Psiquis_X/Nvidia_Presentation_Q4_FY26.pdf" TargetMode="External" Id="rId11" /><Relationship Type="http://schemas.openxmlformats.org/officeDocument/2006/relationships/hyperlink" Target="file:///C:/py.freelance/BLAXTER/Psiquis_X/Nvidia_Presentation_Q4_FY26.pdf" TargetMode="External" Id="rId12" /><Relationship Type="http://schemas.openxmlformats.org/officeDocument/2006/relationships/hyperlink" Target="file:///C:/py.freelance/BLAXTER/Psiquis_X/Nvidia_Presentation_Q4_FY26.pdf" TargetMode="External" Id="rId13" /><Relationship Type="http://schemas.openxmlformats.org/officeDocument/2006/relationships/hyperlink" Target="file:///C:/py.freelance/BLAXTER/Psiquis_X/Nvidia_Presentation_Q4_FY26.pdf" TargetMode="External" Id="rId14" /><Relationship Type="http://schemas.openxmlformats.org/officeDocument/2006/relationships/hyperlink" Target="file:///C:/py.freelance/BLAXTER/Psiquis_X/Nvidia_Presentation_Q4_FY26.pdf" TargetMode="External" Id="rId15" /><Relationship Type="http://schemas.openxmlformats.org/officeDocument/2006/relationships/hyperlink" Target="file:///C:/py.freelance/BLAXTER/Psiquis_X/Nvidia_Presentation_Q4_FY26.pdf" TargetMode="External" Id="rId16" /><Relationship Type="http://schemas.openxmlformats.org/officeDocument/2006/relationships/hyperlink" Target="file:///C:/py.freelance/BLAXTER/Psiquis_X/Nvidia_Presentation_Q4_FY26.pdf" TargetMode="External" Id="rId17" /><Relationship Type="http://schemas.openxmlformats.org/officeDocument/2006/relationships/hyperlink" Target="file:///C:/py.freelance/BLAXTER/Psiquis_X/Nvidia_Presentation_Q4_FY26.pdf" TargetMode="External" Id="rId18" /><Relationship Type="http://schemas.openxmlformats.org/officeDocument/2006/relationships/hyperlink" Target="file:///C:/py.freelance/BLAXTER/Psiquis_X/Nvidia_Presentation_Q4_FY26.pdf" TargetMode="External" Id="rId19" /><Relationship Type="http://schemas.openxmlformats.org/officeDocument/2006/relationships/hyperlink" Target="file:///C:/py.freelance/BLAXTER/Psiquis_X/Nvidia_Presentation_Q4_FY26.pdf" TargetMode="External" Id="rId20" /><Relationship Type="http://schemas.openxmlformats.org/officeDocument/2006/relationships/hyperlink" Target="file:///C:/py.freelance/BLAXTER/Psiquis_X/Nvidia_Presentation_Q4_FY26.pdf" TargetMode="External" Id="rId21" /><Relationship Type="http://schemas.openxmlformats.org/officeDocument/2006/relationships/hyperlink" Target="file:///C:/py.freelance/BLAXTER/Psiquis_X/Nvidia_Presentation_Q4_FY26.pdf" TargetMode="External" Id="rId22" /><Relationship Type="http://schemas.openxmlformats.org/officeDocument/2006/relationships/hyperlink" Target="file:///C:/py.freelance/BLAXTER/Psiquis_X/Nvidia_Presentation_Q4_FY26.pdf" TargetMode="External" Id="rId23" /><Relationship Type="http://schemas.openxmlformats.org/officeDocument/2006/relationships/hyperlink" Target="file:///C:/py.freelance/BLAXTER/Psiquis_X/Nvidia_Presentation_Q4_FY26.pdf" TargetMode="External" Id="rId24" /><Relationship Type="http://schemas.openxmlformats.org/officeDocument/2006/relationships/hyperlink" Target="file:///C:/py.freelance/BLAXTER/Psiquis_X/Nvidia_Presentation_Q4_FY26.pdf" TargetMode="External" Id="rId25" /><Relationship Type="http://schemas.openxmlformats.org/officeDocument/2006/relationships/hyperlink" Target="file:///C:/py.freelance/BLAXTER/Psiquis_X/Nvidia_Presentation_Q4_FY26.pdf" TargetMode="External" Id="rId26" /><Relationship Type="http://schemas.openxmlformats.org/officeDocument/2006/relationships/hyperlink" Target="file:///C:/py.freelance/BLAXTER/Psiquis_X/Nvidia_Presentation_Q4_FY26.pdf" TargetMode="External" Id="rId27" /><Relationship Type="http://schemas.openxmlformats.org/officeDocument/2006/relationships/hyperlink" Target="file:///C:/py.freelance/BLAXTER/Psiquis_X/Nvidia_Presentation_Q4_FY26.pdf" TargetMode="External" Id="rId28" /><Relationship Type="http://schemas.openxmlformats.org/officeDocument/2006/relationships/hyperlink" Target="file:///C:/py.freelance/BLAXTER/Psiquis_X/Nvidia_Presentation_Q4_FY26.pdf" TargetMode="External" Id="rId29" /><Relationship Type="http://schemas.openxmlformats.org/officeDocument/2006/relationships/hyperlink" Target="file:///C:/py.freelance/BLAXTER/Psiquis_X/Nvidia_Presentation_Q4_FY26.pdf" TargetMode="External" Id="rId30" /><Relationship Type="http://schemas.openxmlformats.org/officeDocument/2006/relationships/hyperlink" Target="file:///C:/py.freelance/BLAXTER/Psiquis_X/Nvidia_Presentation_Q4_FY26.pdf" TargetMode="External" Id="rId31" /><Relationship Type="http://schemas.openxmlformats.org/officeDocument/2006/relationships/hyperlink" Target="file:///C:/py.freelance/BLAXTER/Psiquis_X/Nvidia_Presentation_Q4_FY26.pdf" TargetMode="External" Id="rId32"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L21"/>
  <sheetViews>
    <sheetView workbookViewId="0">
      <selection activeCell="A1" sqref="A1"/>
    </sheetView>
  </sheetViews>
  <sheetFormatPr baseColWidth="8" defaultRowHeight="15"/>
  <cols>
    <col width="3" customWidth="1" min="1" max="1"/>
    <col width="30" customWidth="1" min="2" max="2"/>
    <col width="80" customWidth="1" min="3" max="3"/>
  </cols>
  <sheetData>
    <row r="2">
      <c r="B2" s="1" t="inlineStr">
        <is>
          <t>NVIDIA: ENTERPRISE CFO FINANCIAL COHERENCE AUDIT</t>
        </is>
      </c>
      <c r="J2" t="inlineStr">
        <is>
          <t>Period</t>
        </is>
      </c>
      <c r="K2" t="inlineStr">
        <is>
          <t>Total Revenue</t>
        </is>
      </c>
      <c r="L2" t="inlineStr">
        <is>
          <t>Operating Expenses</t>
        </is>
      </c>
    </row>
    <row r="3">
      <c r="J3" t="inlineStr">
        <is>
          <t>FY24</t>
        </is>
      </c>
      <c r="K3" t="n">
        <v>60.922</v>
      </c>
      <c r="L3" t="n">
        <v>11.329</v>
      </c>
    </row>
    <row r="4">
      <c r="B4" s="2" t="inlineStr">
        <is>
          <t>Audit Confidence Score:</t>
        </is>
      </c>
      <c r="C4" s="3" t="inlineStr">
        <is>
          <t>100 / 100</t>
        </is>
      </c>
      <c r="J4" t="inlineStr">
        <is>
          <t>FY25</t>
        </is>
      </c>
      <c r="K4" t="n">
        <v>130.497</v>
      </c>
      <c r="L4" t="n">
        <v>16.405</v>
      </c>
    </row>
    <row r="5">
      <c r="J5" t="inlineStr">
        <is>
          <t>FY26</t>
        </is>
      </c>
      <c r="K5" t="n">
        <v>215.938</v>
      </c>
      <c r="L5" t="n">
        <v>23.076</v>
      </c>
    </row>
    <row r="7">
      <c r="B7" s="4" t="inlineStr">
        <is>
          <t>Financial Performance Summary</t>
        </is>
      </c>
    </row>
    <row r="8" ht="60" customHeight="1">
      <c r="B8" t="inlineStr">
        <is>
          <t>Details:</t>
        </is>
      </c>
      <c r="C8" s="5" t="inlineStr">
        <is>
          <t>Nvidia delivered another year of exceptional financial performance in FY26, with revenues surging 65.5% YoY to $215.9 billion. This robust top-line growth translated into a 64.7% increase in net income, reaching $120.1 billion. The results underscore the company's sustained hyper-growth trajectory and dominant market position, building upon the 114.2% revenue growth achieved in the prior fiscal year.</t>
        </is>
      </c>
    </row>
    <row r="10">
      <c r="B10" s="4" t="inlineStr">
        <is>
          <t>Efficiency &amp; Cost Structure</t>
        </is>
      </c>
    </row>
    <row r="11" ht="60" customHeight="1">
      <c r="B11" t="inlineStr">
        <is>
          <t>Details:</t>
        </is>
      </c>
      <c r="C11" s="5" t="inlineStr">
        <is>
          <t>The company continues to demonstrate powerful operational leverage, as FY26 revenue growth (65.5%) significantly outpaced the growth in operating expenses (40.7%). This efficiency contributed to an expansion of the synthetically-derived operating margin from 87.4% to 89.3%. However, a notable decline in reported GAAP gross margin from 75.0% in FY25 to 71.1% in FY26 suggests a potential shift in product mix or increased input costs that partially offset operating efficiencies.</t>
        </is>
      </c>
    </row>
    <row r="13">
      <c r="B13" s="4" t="inlineStr">
        <is>
          <t>Risk Signals</t>
        </is>
      </c>
    </row>
    <row r="14" ht="60" customHeight="1">
      <c r="B14" t="inlineStr">
        <is>
          <t>Details:</t>
        </is>
      </c>
      <c r="C14" s="5" t="inlineStr">
        <is>
          <t>A minor risk signal of "Margin Compression Risk" has been flagged, as the 64.7% growth in net income slightly lagged the 65.5% growth in revenue for FY26. This is consistent with the observed 390 basis point contraction in GAAP gross margin. While profitability remains exceptionally strong, this trend warrants close monitoring to ensure that bottom-line growth keeps pace with the company's rapid expansion.</t>
        </is>
      </c>
    </row>
    <row r="16">
      <c r="B16" s="4" t="inlineStr">
        <is>
          <t>Strategic Outlook</t>
        </is>
      </c>
    </row>
    <row r="17" ht="60" customHeight="1">
      <c r="B17" t="inlineStr">
        <is>
          <t>Details:</t>
        </is>
      </c>
      <c r="C17" s="5" t="inlineStr">
        <is>
          <t>Strong Expansion</t>
        </is>
      </c>
    </row>
    <row r="19">
      <c r="B19" s="6" t="inlineStr">
        <is>
          <t>Psiquis-X: Performance &amp; Framework Audit</t>
        </is>
      </c>
    </row>
    <row r="20">
      <c r="B20" t="inlineStr">
        <is>
          <t>Total Pipeline Latency:</t>
        </is>
      </c>
      <c r="C20" t="inlineStr">
        <is>
          <t>268.69 seconds</t>
        </is>
      </c>
    </row>
    <row r="21">
      <c r="B21" t="inlineStr">
        <is>
          <t>Engine Lifecycle (Nodes):</t>
        </is>
      </c>
      <c r="C21" s="7" t="inlineStr">
        <is>
          <t>INVESTIGATOR (204.4s) -&gt; PROSECUTOR (29.5s) -&gt; JUDGE (0.0s) -&gt; CFO_NARRATOR (34.9s)</t>
        </is>
      </c>
    </row>
  </sheetData>
  <mergeCells count="1">
    <mergeCell ref="B2:C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8" t="inlineStr">
        <is>
          <t>Metric Name</t>
        </is>
      </c>
      <c r="B1" s="8" t="inlineStr">
        <is>
          <t>Comparison Period</t>
        </is>
      </c>
      <c r="C1" s="8" t="inlineStr">
        <is>
          <t>Variance Growth %</t>
        </is>
      </c>
      <c r="D1" s="8" t="inlineStr">
        <is>
          <t>Coherence Flag</t>
        </is>
      </c>
    </row>
    <row r="2">
      <c r="A2" t="inlineStr">
        <is>
          <t>Total Revenue</t>
        </is>
      </c>
      <c r="B2" s="9" t="inlineStr">
        <is>
          <t>FY26 vs FY25 (YoY)</t>
        </is>
      </c>
      <c r="C2" s="10" t="n">
        <v>0.655</v>
      </c>
      <c r="D2" s="11" t="inlineStr">
        <is>
          <t>Operational Leverage</t>
        </is>
      </c>
    </row>
    <row r="3">
      <c r="A3" t="inlineStr">
        <is>
          <t>Operating Expenses</t>
        </is>
      </c>
      <c r="B3" s="9" t="inlineStr">
        <is>
          <t>FY26 vs FY25 (YoY)</t>
        </is>
      </c>
      <c r="C3" s="10" t="n">
        <v>0.407</v>
      </c>
      <c r="D3" s="11" t="inlineStr">
        <is>
          <t>OK</t>
        </is>
      </c>
    </row>
    <row r="4">
      <c r="A4" t="inlineStr">
        <is>
          <t>Net Income</t>
        </is>
      </c>
      <c r="B4" s="9" t="inlineStr">
        <is>
          <t>FY26 vs FY25 (YoY)</t>
        </is>
      </c>
      <c r="C4" s="10" t="n">
        <v>0.647</v>
      </c>
      <c r="D4" s="12" t="inlineStr">
        <is>
          <t>Margin Compression Risk</t>
        </is>
      </c>
    </row>
    <row r="5">
      <c r="A5" t="inlineStr">
        <is>
          <t>Operating Margin</t>
        </is>
      </c>
      <c r="B5" s="9" t="inlineStr">
        <is>
          <t>FY26 vs FY25 (YoY)</t>
        </is>
      </c>
      <c r="C5" s="10" t="n">
        <v>0.022</v>
      </c>
      <c r="D5" s="11" t="inlineStr">
        <is>
          <t>Positive Expansion</t>
        </is>
      </c>
    </row>
    <row r="6">
      <c r="A6" t="inlineStr">
        <is>
          <t>Total Revenue</t>
        </is>
      </c>
      <c r="B6" s="9" t="inlineStr">
        <is>
          <t>FY25 vs FY24 (YoY)</t>
        </is>
      </c>
      <c r="C6" s="10" t="n">
        <v>1.142</v>
      </c>
      <c r="D6" s="11" t="inlineStr">
        <is>
          <t>Operational Leverage</t>
        </is>
      </c>
    </row>
    <row r="7">
      <c r="A7" t="inlineStr">
        <is>
          <t>Operating Expenses</t>
        </is>
      </c>
      <c r="B7" s="9" t="inlineStr">
        <is>
          <t>FY25 vs FY24 (YoY)</t>
        </is>
      </c>
      <c r="C7" s="10" t="n">
        <v>0.448</v>
      </c>
      <c r="D7" s="11" t="inlineStr">
        <is>
          <t>OK</t>
        </is>
      </c>
    </row>
    <row r="8">
      <c r="A8" t="inlineStr">
        <is>
          <t>Net Income</t>
        </is>
      </c>
      <c r="B8" s="9" t="inlineStr">
        <is>
          <t>FY25 vs FY24 (YoY)</t>
        </is>
      </c>
      <c r="C8" s="10" t="n">
        <v>1.449</v>
      </c>
      <c r="D8" s="11" t="inlineStr">
        <is>
          <t>Positive Expansion</t>
        </is>
      </c>
    </row>
    <row r="9">
      <c r="A9" t="inlineStr">
        <is>
          <t>Operating Margin</t>
        </is>
      </c>
      <c r="B9" s="9" t="inlineStr">
        <is>
          <t>FY25 vs FY24 (YoY)</t>
        </is>
      </c>
      <c r="C9" s="10" t="n">
        <v>0.07400000000000001</v>
      </c>
      <c r="D9" s="11" t="inlineStr">
        <is>
          <t>Positive Expansion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 customWidth="1" min="1" max="1"/>
    <col width="25" customWidth="1" min="2" max="2"/>
    <col width="20" customWidth="1" min="3" max="3"/>
    <col width="20" customWidth="1" min="4" max="4"/>
    <col width="40" customWidth="1" min="5" max="5"/>
    <col width="25" customWidth="1" min="6" max="6"/>
    <col width="80" customWidth="1" min="7" max="7"/>
  </cols>
  <sheetData>
    <row r="1">
      <c r="A1" s="8" t="inlineStr">
        <is>
          <t>Fiscal Year</t>
        </is>
      </c>
      <c r="B1" s="8" t="inlineStr">
        <is>
          <t>Metric Name</t>
        </is>
      </c>
      <c r="C1" s="8" t="inlineStr">
        <is>
          <t>Value (Billions)</t>
        </is>
      </c>
      <c r="D1" s="8" t="inlineStr">
        <is>
          <t>GAAP Standard</t>
        </is>
      </c>
      <c r="E1" s="8" t="inlineStr">
        <is>
          <t>Source File</t>
        </is>
      </c>
      <c r="F1" s="8" t="inlineStr">
        <is>
          <t>Page Reference</t>
        </is>
      </c>
      <c r="G1" s="8" t="inlineStr">
        <is>
          <t>Literal Snippet</t>
        </is>
      </c>
    </row>
    <row r="2" ht="45" customHeight="1">
      <c r="A2" s="9" t="inlineStr">
        <is>
          <t>FY26</t>
        </is>
      </c>
      <c r="B2" t="inlineStr">
        <is>
          <t>Total Revenue</t>
        </is>
      </c>
      <c r="C2" s="13" t="n">
        <v>215.938</v>
      </c>
      <c r="D2" s="9" t="inlineStr">
        <is>
          <t>GAAP</t>
        </is>
      </c>
      <c r="E2" s="9" t="inlineStr">
        <is>
          <t>Nvidia_Presentation_Q4_FY26.pdf</t>
        </is>
      </c>
      <c r="F2" s="14" t="inlineStr">
        <is>
          <t>37</t>
        </is>
      </c>
      <c r="G2" s="5" t="inlineStr">
        <is>
          <t>Revenue $ 215,938 $ 130,497 Up 65%</t>
        </is>
      </c>
    </row>
    <row r="3" ht="45" customHeight="1">
      <c r="A3" s="9" t="inlineStr">
        <is>
          <t>FY25</t>
        </is>
      </c>
      <c r="B3" t="inlineStr">
        <is>
          <t>Total Revenue</t>
        </is>
      </c>
      <c r="C3" s="13" t="n">
        <v>130.497</v>
      </c>
      <c r="D3" s="9" t="inlineStr">
        <is>
          <t>GAAP</t>
        </is>
      </c>
      <c r="E3" s="9" t="inlineStr">
        <is>
          <t>Nvidia_Presentation_Q4_FY26.pdf</t>
        </is>
      </c>
      <c r="F3" s="14" t="inlineStr">
        <is>
          <t>37</t>
        </is>
      </c>
      <c r="G3" s="5" t="inlineStr">
        <is>
          <t>Revenue $ 215,938 $ 130,497 Up 65%</t>
        </is>
      </c>
    </row>
    <row r="4" ht="45" customHeight="1">
      <c r="A4" s="9" t="inlineStr">
        <is>
          <t>FY26</t>
        </is>
      </c>
      <c r="B4" t="inlineStr">
        <is>
          <t>Gross Margin</t>
        </is>
      </c>
      <c r="C4" s="13" t="n">
        <v>0.711</v>
      </c>
      <c r="D4" s="9" t="inlineStr">
        <is>
          <t>GAAP</t>
        </is>
      </c>
      <c r="E4" s="9" t="inlineStr">
        <is>
          <t>Nvidia_Presentation_Q4_FY26.pdf</t>
        </is>
      </c>
      <c r="F4" s="14" t="inlineStr">
        <is>
          <t>37</t>
        </is>
      </c>
      <c r="G4" s="5" t="inlineStr">
        <is>
          <t>Gross margin 71.1 % 75.0 % -3.9 pts</t>
        </is>
      </c>
    </row>
    <row r="5" ht="45" customHeight="1">
      <c r="A5" s="9" t="inlineStr">
        <is>
          <t>FY25</t>
        </is>
      </c>
      <c r="B5" t="inlineStr">
        <is>
          <t>Gross Margin</t>
        </is>
      </c>
      <c r="C5" s="13" t="n">
        <v>0.75</v>
      </c>
      <c r="D5" s="9" t="inlineStr">
        <is>
          <t>GAAP</t>
        </is>
      </c>
      <c r="E5" s="9" t="inlineStr">
        <is>
          <t>Nvidia_Presentation_Q4_FY26.pdf</t>
        </is>
      </c>
      <c r="F5" s="14" t="inlineStr">
        <is>
          <t>37</t>
        </is>
      </c>
      <c r="G5" s="5" t="inlineStr">
        <is>
          <t>Gross margin 71.1 % 75.0 % -3.9 pts</t>
        </is>
      </c>
    </row>
    <row r="6" ht="45" customHeight="1">
      <c r="A6" s="9" t="inlineStr">
        <is>
          <t>FY26</t>
        </is>
      </c>
      <c r="B6" t="inlineStr">
        <is>
          <t>Operating Expenses</t>
        </is>
      </c>
      <c r="C6" s="13" t="n">
        <v>23.076</v>
      </c>
      <c r="D6" s="9" t="inlineStr">
        <is>
          <t>GAAP</t>
        </is>
      </c>
      <c r="E6" s="9" t="inlineStr">
        <is>
          <t>Nvidia_Presentation_Q4_FY26.pdf</t>
        </is>
      </c>
      <c r="F6" s="14" t="inlineStr">
        <is>
          <t>37</t>
        </is>
      </c>
      <c r="G6" s="5" t="inlineStr">
        <is>
          <t>Operating expenses $ 23,076 $ 16,405 Up 41%</t>
        </is>
      </c>
    </row>
    <row r="7" ht="45" customHeight="1">
      <c r="A7" s="9" t="inlineStr">
        <is>
          <t>FY25</t>
        </is>
      </c>
      <c r="B7" t="inlineStr">
        <is>
          <t>Operating Expenses</t>
        </is>
      </c>
      <c r="C7" s="13" t="n">
        <v>16.405</v>
      </c>
      <c r="D7" s="9" t="inlineStr">
        <is>
          <t>GAAP</t>
        </is>
      </c>
      <c r="E7" s="9" t="inlineStr">
        <is>
          <t>Nvidia_Presentation_Q4_FY26.pdf</t>
        </is>
      </c>
      <c r="F7" s="14" t="inlineStr">
        <is>
          <t>37</t>
        </is>
      </c>
      <c r="G7" s="5" t="inlineStr">
        <is>
          <t>Operating expenses $ 23,076 $ 16,405 Up 41%</t>
        </is>
      </c>
    </row>
    <row r="8" ht="45" customHeight="1">
      <c r="A8" s="9" t="inlineStr">
        <is>
          <t>FY26</t>
        </is>
      </c>
      <c r="B8" t="inlineStr">
        <is>
          <t>Net Income</t>
        </is>
      </c>
      <c r="C8" s="13" t="n">
        <v>120.067</v>
      </c>
      <c r="D8" s="9" t="inlineStr">
        <is>
          <t>GAAP</t>
        </is>
      </c>
      <c r="E8" s="9" t="inlineStr">
        <is>
          <t>Nvidia_Presentation_Q4_FY26.pdf</t>
        </is>
      </c>
      <c r="F8" s="14" t="inlineStr">
        <is>
          <t>37</t>
        </is>
      </c>
      <c r="G8" s="5" t="inlineStr">
        <is>
          <t>Net income $ 120,067 $ 72,880 Up 65%</t>
        </is>
      </c>
    </row>
    <row r="9" ht="45" customHeight="1">
      <c r="A9" s="9" t="inlineStr">
        <is>
          <t>FY25</t>
        </is>
      </c>
      <c r="B9" t="inlineStr">
        <is>
          <t>Net Income</t>
        </is>
      </c>
      <c r="C9" s="13" t="n">
        <v>72.88</v>
      </c>
      <c r="D9" s="9" t="inlineStr">
        <is>
          <t>GAAP</t>
        </is>
      </c>
      <c r="E9" s="9" t="inlineStr">
        <is>
          <t>Nvidia_Presentation_Q4_FY26.pdf</t>
        </is>
      </c>
      <c r="F9" s="14" t="inlineStr">
        <is>
          <t>37</t>
        </is>
      </c>
      <c r="G9" s="5" t="inlineStr">
        <is>
          <t>Net income $ 120,067 $ 72,880 Up 65%</t>
        </is>
      </c>
    </row>
    <row r="10" ht="45" customHeight="1">
      <c r="A10" s="9" t="inlineStr">
        <is>
          <t>FY26</t>
        </is>
      </c>
      <c r="B10" t="inlineStr">
        <is>
          <t>Earnings Per Share</t>
        </is>
      </c>
      <c r="C10" s="13" t="n">
        <v>4.9</v>
      </c>
      <c r="D10" s="9" t="inlineStr">
        <is>
          <t>GAAP</t>
        </is>
      </c>
      <c r="E10" s="9" t="inlineStr">
        <is>
          <t>Nvidia_Presentation_Q4_FY26.pdf</t>
        </is>
      </c>
      <c r="F10" s="14" t="inlineStr">
        <is>
          <t>37</t>
        </is>
      </c>
      <c r="G10" s="5" t="inlineStr">
        <is>
          <t>Net income per diluted share $ 4.90 $ 2.94 Up 67%</t>
        </is>
      </c>
    </row>
    <row r="11" ht="45" customHeight="1">
      <c r="A11" s="9" t="inlineStr">
        <is>
          <t>FY25</t>
        </is>
      </c>
      <c r="B11" t="inlineStr">
        <is>
          <t>Earnings Per Share</t>
        </is>
      </c>
      <c r="C11" s="13" t="n">
        <v>2.94</v>
      </c>
      <c r="D11" s="9" t="inlineStr">
        <is>
          <t>GAAP</t>
        </is>
      </c>
      <c r="E11" s="9" t="inlineStr">
        <is>
          <t>Nvidia_Presentation_Q4_FY26.pdf</t>
        </is>
      </c>
      <c r="F11" s="14" t="inlineStr">
        <is>
          <t>37</t>
        </is>
      </c>
      <c r="G11" s="5" t="inlineStr">
        <is>
          <t>Net income per diluted share $ 4.90 $ 2.94 Up 67%</t>
        </is>
      </c>
    </row>
    <row r="12" ht="45" customHeight="1">
      <c r="A12" s="9" t="inlineStr">
        <is>
          <t>FY26</t>
        </is>
      </c>
      <c r="B12" t="inlineStr">
        <is>
          <t>Gross Margin</t>
        </is>
      </c>
      <c r="C12" s="13" t="n">
        <v>0.711</v>
      </c>
      <c r="D12" s="9" t="inlineStr">
        <is>
          <t>GAAP</t>
        </is>
      </c>
      <c r="E12" s="9" t="inlineStr">
        <is>
          <t>Nvidia_Presentation_Q4_FY26.pdf</t>
        </is>
      </c>
      <c r="F12" s="14" t="inlineStr">
        <is>
          <t>41</t>
        </is>
      </c>
      <c r="G12" s="5" t="inlineStr">
        <is>
          <t>Gross margins decreased to 71.1% in fiscal year 2026</t>
        </is>
      </c>
    </row>
    <row r="13" ht="45" customHeight="1">
      <c r="A13" s="9" t="inlineStr">
        <is>
          <t>FY25</t>
        </is>
      </c>
      <c r="B13" t="inlineStr">
        <is>
          <t>Gross Margin</t>
        </is>
      </c>
      <c r="C13" s="13" t="n">
        <v>0.75</v>
      </c>
      <c r="D13" s="9" t="inlineStr">
        <is>
          <t>GAAP</t>
        </is>
      </c>
      <c r="E13" s="9" t="inlineStr">
        <is>
          <t>Nvidia_Presentation_Q4_FY26.pdf</t>
        </is>
      </c>
      <c r="F13" s="14" t="inlineStr">
        <is>
          <t>41</t>
        </is>
      </c>
      <c r="G13" s="5" t="inlineStr">
        <is>
          <t>from 75.0% in fiscal year 2025</t>
        </is>
      </c>
    </row>
    <row r="14" ht="45" customHeight="1">
      <c r="A14" s="9" t="inlineStr">
        <is>
          <t>FY26</t>
        </is>
      </c>
      <c r="B14" t="inlineStr">
        <is>
          <t>Total Operating Expenses</t>
        </is>
      </c>
      <c r="C14" s="13" t="n">
        <v>23.076</v>
      </c>
      <c r="D14" s="9" t="inlineStr">
        <is>
          <t>GAAP</t>
        </is>
      </c>
      <c r="E14" s="9" t="inlineStr">
        <is>
          <t>Nvidia_Presentation_Q4_FY26.pdf</t>
        </is>
      </c>
      <c r="F14" s="14" t="inlineStr">
        <is>
          <t>41</t>
        </is>
      </c>
      <c r="G14" s="5" t="inlineStr">
        <is>
          <t>Total operating expenses $ 23,076</t>
        </is>
      </c>
    </row>
    <row r="15" ht="45" customHeight="1">
      <c r="A15" s="9" t="inlineStr">
        <is>
          <t>FY25</t>
        </is>
      </c>
      <c r="B15" t="inlineStr">
        <is>
          <t>Total Operating Expenses</t>
        </is>
      </c>
      <c r="C15" s="13" t="n">
        <v>16.405</v>
      </c>
      <c r="D15" s="9" t="inlineStr">
        <is>
          <t>GAAP</t>
        </is>
      </c>
      <c r="E15" s="9" t="inlineStr">
        <is>
          <t>Nvidia_Presentation_Q4_FY26.pdf</t>
        </is>
      </c>
      <c r="F15" s="14" t="inlineStr">
        <is>
          <t>41</t>
        </is>
      </c>
      <c r="G15" s="5" t="inlineStr">
        <is>
          <t>$ 16,405</t>
        </is>
      </c>
    </row>
    <row r="16" ht="45" customHeight="1">
      <c r="A16" s="9" t="inlineStr">
        <is>
          <t>FY26</t>
        </is>
      </c>
      <c r="B16" t="inlineStr">
        <is>
          <t>Total Revenue</t>
        </is>
      </c>
      <c r="C16" s="13" t="n">
        <v>215.938</v>
      </c>
      <c r="D16" s="9" t="inlineStr">
        <is>
          <t>GAAP</t>
        </is>
      </c>
      <c r="E16" s="9" t="inlineStr">
        <is>
          <t>Nvidia_Presentation_Q4_FY26.pdf</t>
        </is>
      </c>
      <c r="F16" s="14" t="inlineStr">
        <is>
          <t>51</t>
        </is>
      </c>
      <c r="G16" s="5" t="inlineStr">
        <is>
          <t>Revenue $ 215,938 $ 130,497 $ 60,922</t>
        </is>
      </c>
    </row>
    <row r="17" ht="45" customHeight="1">
      <c r="A17" s="9" t="inlineStr">
        <is>
          <t>FY25</t>
        </is>
      </c>
      <c r="B17" t="inlineStr">
        <is>
          <t>Total Revenue</t>
        </is>
      </c>
      <c r="C17" s="13" t="n">
        <v>130.497</v>
      </c>
      <c r="D17" s="9" t="inlineStr">
        <is>
          <t>GAAP</t>
        </is>
      </c>
      <c r="E17" s="9" t="inlineStr">
        <is>
          <t>Nvidia_Presentation_Q4_FY26.pdf</t>
        </is>
      </c>
      <c r="F17" s="14" t="inlineStr">
        <is>
          <t>51</t>
        </is>
      </c>
      <c r="G17" s="5" t="inlineStr">
        <is>
          <t>Revenue $ 215,938 $ 130,497 $ 60,922</t>
        </is>
      </c>
    </row>
    <row r="18" ht="45" customHeight="1">
      <c r="A18" s="9" t="inlineStr">
        <is>
          <t>FY24</t>
        </is>
      </c>
      <c r="B18" t="inlineStr">
        <is>
          <t>Total Revenue</t>
        </is>
      </c>
      <c r="C18" s="13" t="n">
        <v>60.922</v>
      </c>
      <c r="D18" s="9" t="inlineStr">
        <is>
          <t>GAAP</t>
        </is>
      </c>
      <c r="E18" s="9" t="inlineStr">
        <is>
          <t>Nvidia_Presentation_Q4_FY26.pdf</t>
        </is>
      </c>
      <c r="F18" s="14" t="inlineStr">
        <is>
          <t>51</t>
        </is>
      </c>
      <c r="G18" s="5" t="inlineStr">
        <is>
          <t>Revenue $ 215,938 $ 130,497 $ 60,922</t>
        </is>
      </c>
    </row>
    <row r="19" ht="45" customHeight="1">
      <c r="A19" s="9" t="inlineStr">
        <is>
          <t>FY26</t>
        </is>
      </c>
      <c r="B19" t="inlineStr">
        <is>
          <t>Operating Expenses</t>
        </is>
      </c>
      <c r="C19" s="13" t="n">
        <v>23.076</v>
      </c>
      <c r="D19" s="9" t="inlineStr">
        <is>
          <t>GAAP</t>
        </is>
      </c>
      <c r="E19" s="9" t="inlineStr">
        <is>
          <t>Nvidia_Presentation_Q4_FY26.pdf</t>
        </is>
      </c>
      <c r="F19" s="14" t="inlineStr">
        <is>
          <t>51</t>
        </is>
      </c>
      <c r="G19" s="5" t="inlineStr">
        <is>
          <t>Total operating expenses 23,076 16,405 11,329</t>
        </is>
      </c>
    </row>
    <row r="20" ht="45" customHeight="1">
      <c r="A20" s="9" t="inlineStr">
        <is>
          <t>FY25</t>
        </is>
      </c>
      <c r="B20" t="inlineStr">
        <is>
          <t>Operating Expenses</t>
        </is>
      </c>
      <c r="C20" s="13" t="n">
        <v>16.405</v>
      </c>
      <c r="D20" s="9" t="inlineStr">
        <is>
          <t>GAAP</t>
        </is>
      </c>
      <c r="E20" s="9" t="inlineStr">
        <is>
          <t>Nvidia_Presentation_Q4_FY26.pdf</t>
        </is>
      </c>
      <c r="F20" s="14" t="inlineStr">
        <is>
          <t>51</t>
        </is>
      </c>
      <c r="G20" s="5" t="inlineStr">
        <is>
          <t>Total operating expenses 23,076 16,405 11,329</t>
        </is>
      </c>
    </row>
    <row r="21" ht="45" customHeight="1">
      <c r="A21" s="9" t="inlineStr">
        <is>
          <t>FY24</t>
        </is>
      </c>
      <c r="B21" t="inlineStr">
        <is>
          <t>Operating Expenses</t>
        </is>
      </c>
      <c r="C21" s="13" t="n">
        <v>11.329</v>
      </c>
      <c r="D21" s="9" t="inlineStr">
        <is>
          <t>GAAP</t>
        </is>
      </c>
      <c r="E21" s="9" t="inlineStr">
        <is>
          <t>Nvidia_Presentation_Q4_FY26.pdf</t>
        </is>
      </c>
      <c r="F21" s="14" t="inlineStr">
        <is>
          <t>51</t>
        </is>
      </c>
      <c r="G21" s="5" t="inlineStr">
        <is>
          <t>Total operating expenses 23,076 16,405 11,329</t>
        </is>
      </c>
    </row>
    <row r="22" ht="45" customHeight="1">
      <c r="A22" s="9" t="inlineStr">
        <is>
          <t>FY26</t>
        </is>
      </c>
      <c r="B22" t="inlineStr">
        <is>
          <t>Net Income</t>
        </is>
      </c>
      <c r="C22" s="13" t="n">
        <v>120.067</v>
      </c>
      <c r="D22" s="9" t="inlineStr">
        <is>
          <t>GAAP</t>
        </is>
      </c>
      <c r="E22" s="9" t="inlineStr">
        <is>
          <t>Nvidia_Presentation_Q4_FY26.pdf</t>
        </is>
      </c>
      <c r="F22" s="14" t="inlineStr">
        <is>
          <t>51</t>
        </is>
      </c>
      <c r="G22" s="5" t="inlineStr">
        <is>
          <t>Net income $ 120,067 $ 72,880 $ 29,760</t>
        </is>
      </c>
    </row>
    <row r="23" ht="45" customHeight="1">
      <c r="A23" s="9" t="inlineStr">
        <is>
          <t>FY25</t>
        </is>
      </c>
      <c r="B23" t="inlineStr">
        <is>
          <t>Net Income</t>
        </is>
      </c>
      <c r="C23" s="13" t="n">
        <v>72.88</v>
      </c>
      <c r="D23" s="9" t="inlineStr">
        <is>
          <t>GAAP</t>
        </is>
      </c>
      <c r="E23" s="9" t="inlineStr">
        <is>
          <t>Nvidia_Presentation_Q4_FY26.pdf</t>
        </is>
      </c>
      <c r="F23" s="14" t="inlineStr">
        <is>
          <t>51</t>
        </is>
      </c>
      <c r="G23" s="5" t="inlineStr">
        <is>
          <t>Net income $ 120,067 $ 72,880 $ 29,760</t>
        </is>
      </c>
    </row>
    <row r="24" ht="45" customHeight="1">
      <c r="A24" s="9" t="inlineStr">
        <is>
          <t>FY24</t>
        </is>
      </c>
      <c r="B24" t="inlineStr">
        <is>
          <t>Net Income</t>
        </is>
      </c>
      <c r="C24" s="13" t="n">
        <v>29.76</v>
      </c>
      <c r="D24" s="9" t="inlineStr">
        <is>
          <t>GAAP</t>
        </is>
      </c>
      <c r="E24" s="9" t="inlineStr">
        <is>
          <t>Nvidia_Presentation_Q4_FY26.pdf</t>
        </is>
      </c>
      <c r="F24" s="14" t="inlineStr">
        <is>
          <t>51</t>
        </is>
      </c>
      <c r="G24" s="5" t="inlineStr">
        <is>
          <t>Net income $ 120,067 $ 72,880 $ 29,760</t>
        </is>
      </c>
    </row>
    <row r="25" ht="45" customHeight="1">
      <c r="A25" s="9" t="inlineStr">
        <is>
          <t>FY26</t>
        </is>
      </c>
      <c r="B25" t="inlineStr">
        <is>
          <t>Earnings Per Share (Basic)</t>
        </is>
      </c>
      <c r="C25" s="13" t="n">
        <v>4.93</v>
      </c>
      <c r="D25" s="9" t="inlineStr">
        <is>
          <t>GAAP</t>
        </is>
      </c>
      <c r="E25" s="9" t="inlineStr">
        <is>
          <t>Nvidia_Presentation_Q4_FY26.pdf</t>
        </is>
      </c>
      <c r="F25" s="14" t="inlineStr">
        <is>
          <t>51</t>
        </is>
      </c>
      <c r="G25" s="5" t="inlineStr">
        <is>
          <t>Basic $ 4.93 $ 2.97 $ 1.21</t>
        </is>
      </c>
    </row>
    <row r="26" ht="45" customHeight="1">
      <c r="A26" s="9" t="inlineStr">
        <is>
          <t>FY25</t>
        </is>
      </c>
      <c r="B26" t="inlineStr">
        <is>
          <t>Earnings Per Share (Basic)</t>
        </is>
      </c>
      <c r="C26" s="13" t="n">
        <v>2.97</v>
      </c>
      <c r="D26" s="9" t="inlineStr">
        <is>
          <t>GAAP</t>
        </is>
      </c>
      <c r="E26" s="9" t="inlineStr">
        <is>
          <t>Nvidia_Presentation_Q4_FY26.pdf</t>
        </is>
      </c>
      <c r="F26" s="14" t="inlineStr">
        <is>
          <t>51</t>
        </is>
      </c>
      <c r="G26" s="5" t="inlineStr">
        <is>
          <t>Basic $ 4.93 $ 2.97 $ 1.21</t>
        </is>
      </c>
    </row>
    <row r="27" ht="45" customHeight="1">
      <c r="A27" s="9" t="inlineStr">
        <is>
          <t>FY24</t>
        </is>
      </c>
      <c r="B27" t="inlineStr">
        <is>
          <t>Earnings Per Share (Basic)</t>
        </is>
      </c>
      <c r="C27" s="13" t="n">
        <v>1.21</v>
      </c>
      <c r="D27" s="9" t="inlineStr">
        <is>
          <t>GAAP</t>
        </is>
      </c>
      <c r="E27" s="9" t="inlineStr">
        <is>
          <t>Nvidia_Presentation_Q4_FY26.pdf</t>
        </is>
      </c>
      <c r="F27" s="14" t="inlineStr">
        <is>
          <t>51</t>
        </is>
      </c>
      <c r="G27" s="5" t="inlineStr">
        <is>
          <t>Basic $ 4.93 $ 2.97 $ 1.21</t>
        </is>
      </c>
    </row>
    <row r="28" ht="45" customHeight="1">
      <c r="A28" s="9" t="inlineStr">
        <is>
          <t>FY26</t>
        </is>
      </c>
      <c r="B28" t="inlineStr">
        <is>
          <t>Earnings Per Share (Diluted)</t>
        </is>
      </c>
      <c r="C28" s="13" t="n">
        <v>4.9</v>
      </c>
      <c r="D28" s="9" t="inlineStr">
        <is>
          <t>GAAP</t>
        </is>
      </c>
      <c r="E28" s="9" t="inlineStr">
        <is>
          <t>Nvidia_Presentation_Q4_FY26.pdf</t>
        </is>
      </c>
      <c r="F28" s="14" t="inlineStr">
        <is>
          <t>51</t>
        </is>
      </c>
      <c r="G28" s="5" t="inlineStr">
        <is>
          <t>Diluted $ 4.90 $ 2.94 $ 1.19</t>
        </is>
      </c>
    </row>
    <row r="29" ht="45" customHeight="1">
      <c r="A29" s="9" t="inlineStr">
        <is>
          <t>FY25</t>
        </is>
      </c>
      <c r="B29" t="inlineStr">
        <is>
          <t>Earnings Per Share (Diluted)</t>
        </is>
      </c>
      <c r="C29" s="13" t="n">
        <v>2.94</v>
      </c>
      <c r="D29" s="9" t="inlineStr">
        <is>
          <t>GAAP</t>
        </is>
      </c>
      <c r="E29" s="9" t="inlineStr">
        <is>
          <t>Nvidia_Presentation_Q4_FY26.pdf</t>
        </is>
      </c>
      <c r="F29" s="14" t="inlineStr">
        <is>
          <t>51</t>
        </is>
      </c>
      <c r="G29" s="5" t="inlineStr">
        <is>
          <t>Diluted $ 4.90 $ 2.94 $ 1.19</t>
        </is>
      </c>
    </row>
    <row r="30" ht="45" customHeight="1">
      <c r="A30" s="9" t="inlineStr">
        <is>
          <t>FY24</t>
        </is>
      </c>
      <c r="B30" t="inlineStr">
        <is>
          <t>Earnings Per Share (Diluted)</t>
        </is>
      </c>
      <c r="C30" s="13" t="n">
        <v>1.19</v>
      </c>
      <c r="D30" s="9" t="inlineStr">
        <is>
          <t>GAAP</t>
        </is>
      </c>
      <c r="E30" s="9" t="inlineStr">
        <is>
          <t>Nvidia_Presentation_Q4_FY26.pdf</t>
        </is>
      </c>
      <c r="F30" s="14" t="inlineStr">
        <is>
          <t>51</t>
        </is>
      </c>
      <c r="G30" s="5" t="inlineStr">
        <is>
          <t>Diluted $ 4.90 $ 2.94 $ 1.19</t>
        </is>
      </c>
    </row>
    <row r="31" ht="45" customHeight="1">
      <c r="A31" s="9" t="inlineStr">
        <is>
          <t>FY26</t>
        </is>
      </c>
      <c r="B31" t="inlineStr">
        <is>
          <t>Net Income</t>
        </is>
      </c>
      <c r="C31" s="13" t="n">
        <v>120.067</v>
      </c>
      <c r="D31" s="9" t="inlineStr">
        <is>
          <t>GAAP</t>
        </is>
      </c>
      <c r="E31" s="9" t="inlineStr">
        <is>
          <t>Nvidia_Presentation_Q4_FY26.pdf</t>
        </is>
      </c>
      <c r="F31" s="14" t="inlineStr">
        <is>
          <t>55</t>
        </is>
      </c>
      <c r="G31" s="5" t="inlineStr">
        <is>
          <t>Net income $ 120,067 $ 72,880 $ 29,760</t>
        </is>
      </c>
    </row>
    <row r="32" ht="45" customHeight="1">
      <c r="A32" s="9" t="inlineStr">
        <is>
          <t>FY25</t>
        </is>
      </c>
      <c r="B32" t="inlineStr">
        <is>
          <t>Net Income</t>
        </is>
      </c>
      <c r="C32" s="13" t="n">
        <v>72.88</v>
      </c>
      <c r="D32" s="9" t="inlineStr">
        <is>
          <t>GAAP</t>
        </is>
      </c>
      <c r="E32" s="9" t="inlineStr">
        <is>
          <t>Nvidia_Presentation_Q4_FY26.pdf</t>
        </is>
      </c>
      <c r="F32" s="14" t="inlineStr">
        <is>
          <t>55</t>
        </is>
      </c>
      <c r="G32" s="5" t="inlineStr">
        <is>
          <t>Net income $ 120,067 $ 72,880 $ 29,760</t>
        </is>
      </c>
    </row>
    <row r="33" ht="45" customHeight="1">
      <c r="A33" s="9" t="inlineStr">
        <is>
          <t>FY24</t>
        </is>
      </c>
      <c r="B33" t="inlineStr">
        <is>
          <t>Net Income</t>
        </is>
      </c>
      <c r="C33" s="13" t="n">
        <v>29.76</v>
      </c>
      <c r="D33" s="9" t="inlineStr">
        <is>
          <t>GAAP</t>
        </is>
      </c>
      <c r="E33" s="9" t="inlineStr">
        <is>
          <t>Nvidia_Presentation_Q4_FY26.pdf</t>
        </is>
      </c>
      <c r="F33" s="14" t="inlineStr">
        <is>
          <t>55</t>
        </is>
      </c>
      <c r="G33" s="5" t="inlineStr">
        <is>
          <t>Net income $ 120,067 $ 72,880 $ 29,760</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2026-03-06T08:25:29Z</dcterms:created>
  <dcterms:modified xsi:type="dcterms:W3CDTF">2026-03-06T08:25:29Z</dcterms:modified>
</cp:coreProperties>
</file>