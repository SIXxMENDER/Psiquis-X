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 name="Executive Dashboard" sheetId="2" state="visible" r:id="rId2"/>
    <sheet name="Cohort Analysis (Variance)" sheetId="3" state="visible" r:id="rId3"/>
    <sheet name="Raw Data Traceability"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_($* #,##0.0_);_($* (#,##0.0);_($* &quot;-&quot;??_);_(@_)"/>
  </numFmts>
  <fonts count="9">
    <font>
      <name val="Calibri"/>
      <family val="2"/>
      <color theme="1"/>
      <sz val="11"/>
      <scheme val="minor"/>
    </font>
    <font>
      <b val="1"/>
      <color rgb="001F4E78"/>
      <sz val="16"/>
    </font>
    <font>
      <b val="1"/>
    </font>
    <font>
      <b val="1"/>
      <color rgb="00FFC000"/>
      <sz val="14"/>
    </font>
    <font>
      <b val="1"/>
      <color rgb="00FF0000"/>
    </font>
    <font>
      <i val="1"/>
      <sz val="9"/>
    </font>
    <font>
      <b val="1"/>
      <color rgb="00FFFFFF"/>
      <sz val="12"/>
    </font>
    <font>
      <b val="1"/>
      <color rgb="00006100"/>
    </font>
    <font>
      <color rgb="000000FF"/>
      <u val="single"/>
    </font>
  </fonts>
  <fills count="6">
    <fill>
      <patternFill/>
    </fill>
    <fill>
      <patternFill patternType="gray125"/>
    </fill>
    <fill>
      <patternFill patternType="solid">
        <fgColor rgb="00D9E1F2"/>
        <bgColor rgb="00D9E1F2"/>
      </patternFill>
    </fill>
    <fill>
      <patternFill patternType="solid">
        <fgColor rgb="00F2F2F2"/>
        <bgColor rgb="00F2F2F2"/>
      </patternFill>
    </fill>
    <fill>
      <patternFill patternType="solid">
        <fgColor rgb="001F4E78"/>
        <bgColor rgb="001F4E78"/>
      </patternFill>
    </fill>
    <fill>
      <patternFill patternType="solid">
        <fgColor rgb="00C6EFCE"/>
        <bgColor rgb="00C6EFCE"/>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2" fillId="2" borderId="0" pivotButton="0" quotePrefix="0" xfId="0"/>
    <xf numFmtId="0" fontId="0" fillId="0" borderId="0" applyAlignment="1" pivotButton="0" quotePrefix="0" xfId="0">
      <alignment vertical="top" wrapText="1"/>
    </xf>
    <xf numFmtId="0" fontId="2" fillId="3" borderId="0" pivotButton="0" quotePrefix="0" xfId="0"/>
    <xf numFmtId="0" fontId="5" fillId="0" borderId="0" pivotButton="0" quotePrefix="0" xfId="0"/>
    <xf numFmtId="0" fontId="6" fillId="4" borderId="0" applyAlignment="1" pivotButton="0" quotePrefix="0" xfId="0">
      <alignment horizontal="center" vertical="center"/>
    </xf>
    <xf numFmtId="0" fontId="0" fillId="0" borderId="0" applyAlignment="1" pivotButton="0" quotePrefix="0" xfId="0">
      <alignment horizontal="center" vertical="center"/>
    </xf>
    <xf numFmtId="164" fontId="0" fillId="0" borderId="0" pivotButton="0" quotePrefix="0" xfId="0"/>
    <xf numFmtId="0" fontId="7" fillId="5" borderId="0" pivotButton="0" quotePrefix="0" xfId="0"/>
    <xf numFmtId="165" fontId="0" fillId="0" borderId="0" pivotButton="0" quotePrefix="0" xfId="0"/>
    <xf numFmtId="0" fontId="8"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10"/>
  <chart>
    <title>
      <tx>
        <rich>
          <a:bodyPr/>
          <a:p>
            <a:pPr>
              <a:defRPr/>
            </a:pPr>
            <a:r>
              <a:t>Revenue vs Operating Expenses (Billions)</a:t>
            </a:r>
          </a:p>
        </rich>
      </tx>
    </title>
    <plotArea>
      <barChart>
        <barDir val="col"/>
        <grouping val="clustered"/>
        <ser>
          <idx val="0"/>
          <order val="0"/>
          <tx>
            <strRef>
              <f>'Executive Dashboard'!K2</f>
            </strRef>
          </tx>
          <spPr>
            <a:ln>
              <a:prstDash val="solid"/>
            </a:ln>
          </spPr>
          <cat>
            <numRef>
              <f>'Executive Dashboard'!$J$3:$J$5</f>
            </numRef>
          </cat>
          <val>
            <numRef>
              <f>'Executive Dashboard'!$K$3:$K$5</f>
            </numRef>
          </val>
        </ser>
        <ser>
          <idx val="1"/>
          <order val="1"/>
          <tx>
            <strRef>
              <f>'Executive Dashboard'!L2</f>
            </strRef>
          </tx>
          <spPr>
            <a:ln>
              <a:prstDash val="solid"/>
            </a:ln>
          </spPr>
          <cat>
            <numRef>
              <f>'Executive Dashboard'!$J$3:$J$5</f>
            </numRef>
          </cat>
          <val>
            <numRef>
              <f>'Executive Dashboard'!$L$3:$L$5</f>
            </numRef>
          </val>
        </ser>
        <gapWidth val="150"/>
        <axId val="10"/>
        <axId val="100"/>
      </barChart>
      <catAx>
        <axId val="10"/>
        <scaling>
          <orientation val="minMax"/>
        </scaling>
        <axPos val="l"/>
        <title>
          <tx>
            <rich>
              <a:bodyPr/>
              <a:p>
                <a:pPr>
                  <a:defRPr/>
                </a:pPr>
                <a:r>
                  <a:t>Fiscal Period</a:t>
                </a:r>
              </a:p>
            </rich>
          </tx>
        </title>
        <majorTickMark val="none"/>
        <minorTickMark val="none"/>
        <crossAx val="100"/>
        <lblOffset val="100"/>
      </catAx>
      <valAx>
        <axId val="100"/>
        <scaling>
          <orientation val="minMax"/>
        </scaling>
        <axPos val="l"/>
        <majorGridlines/>
        <title>
          <tx>
            <rich>
              <a:bodyPr/>
              <a:p>
                <a:pPr>
                  <a:defRPr/>
                </a:pPr>
                <a:r>
                  <a:t>Billions USD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6</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4.xml.rels><Relationships xmlns="http://schemas.openxmlformats.org/package/2006/relationships"><Relationship Type="http://schemas.openxmlformats.org/officeDocument/2006/relationships/hyperlink" Target="file:///C:/py.freelance/BLAXTER/Psiquis_X/Nvidia_Presentation_Q4_FY26.pdf" TargetMode="External" Id="rId1" /><Relationship Type="http://schemas.openxmlformats.org/officeDocument/2006/relationships/hyperlink" Target="file:///C:/py.freelance/BLAXTER/Psiquis_X/Nvidia_Presentation_Q4_FY26.pdf" TargetMode="External" Id="rId2" /><Relationship Type="http://schemas.openxmlformats.org/officeDocument/2006/relationships/hyperlink" Target="file:///C:/py.freelance/BLAXTER/Psiquis_X/Nvidia_Presentation_Q4_FY26.pdf" TargetMode="External" Id="rId3" /><Relationship Type="http://schemas.openxmlformats.org/officeDocument/2006/relationships/hyperlink" Target="file:///C:/py.freelance/BLAXTER/Psiquis_X/Nvidia_Presentation_Q4_FY26.pdf" TargetMode="External" Id="rId4" /><Relationship Type="http://schemas.openxmlformats.org/officeDocument/2006/relationships/hyperlink" Target="file:///C:/py.freelance/BLAXTER/Psiquis_X/Nvidia_Presentation_Q4_FY26.pdf" TargetMode="External" Id="rId5" /><Relationship Type="http://schemas.openxmlformats.org/officeDocument/2006/relationships/hyperlink" Target="file:///C:/py.freelance/BLAXTER/Psiquis_X/Nvidia_Presentation_Q4_FY26.pdf" TargetMode="External" Id="rId6" /><Relationship Type="http://schemas.openxmlformats.org/officeDocument/2006/relationships/hyperlink" Target="file:///C:/py.freelance/BLAXTER/Psiquis_X/Nvidia_Presentation_Q4_FY26.pdf" TargetMode="External" Id="rId7" /></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L21"/>
  <sheetViews>
    <sheetView workbookViewId="0">
      <selection activeCell="A1" sqref="A1"/>
    </sheetView>
  </sheetViews>
  <sheetFormatPr baseColWidth="8" defaultRowHeight="15"/>
  <cols>
    <col width="3" customWidth="1" min="1" max="1"/>
    <col width="30" customWidth="1" min="2" max="2"/>
    <col width="80" customWidth="1" min="3" max="3"/>
  </cols>
  <sheetData>
    <row r="2">
      <c r="B2" s="1" t="inlineStr">
        <is>
          <t>NVIDIA: ENTERPRISE CFO FINANCIAL COHERENCE AUDIT</t>
        </is>
      </c>
      <c r="J2" t="inlineStr">
        <is>
          <t>Period</t>
        </is>
      </c>
      <c r="K2" t="inlineStr">
        <is>
          <t>Total Revenue</t>
        </is>
      </c>
      <c r="L2" t="inlineStr">
        <is>
          <t>Operating Expenses</t>
        </is>
      </c>
    </row>
    <row r="3">
      <c r="J3" t="inlineStr">
        <is>
          <t>FY24</t>
        </is>
      </c>
      <c r="K3" t="n">
        <v>0</v>
      </c>
      <c r="L3" t="n">
        <v>11.329</v>
      </c>
    </row>
    <row r="4">
      <c r="B4" s="2" t="inlineStr">
        <is>
          <t>Audit Confidence Score:</t>
        </is>
      </c>
      <c r="C4" s="3" t="inlineStr">
        <is>
          <t>65 / 100</t>
        </is>
      </c>
      <c r="J4" t="inlineStr">
        <is>
          <t>FY25</t>
        </is>
      </c>
      <c r="K4" t="n">
        <v>0</v>
      </c>
      <c r="L4" t="n">
        <v>16.405</v>
      </c>
    </row>
    <row r="5">
      <c r="B5" s="4" t="inlineStr">
        <is>
          <t>⚠️ WARNING: Human Audit Recommended due to Adversarial Rejections or Missing Data.</t>
        </is>
      </c>
      <c r="J5" t="inlineStr">
        <is>
          <t>FY26</t>
        </is>
      </c>
      <c r="K5" t="n">
        <v>0</v>
      </c>
      <c r="L5" t="n">
        <v>23.076</v>
      </c>
    </row>
    <row r="7">
      <c r="B7" s="5" t="inlineStr">
        <is>
          <t>Financial Performance Summary</t>
        </is>
      </c>
    </row>
    <row r="8" ht="60" customHeight="1">
      <c r="B8" t="inlineStr">
        <is>
          <t>Details:</t>
        </is>
      </c>
      <c r="C8" s="6" t="inlineStr">
        <is>
          <t>Nvidia's financial data indicates a period of intense investment, with operating expenses growing aggressively year-over-year. Total operating expenses reached $23.1B in FY26, a 41% increase from the $16.4B reported in FY25. This follows a 45% increase in the prior year, demonstrating a sustained and deliberate expansion of the company's cost base to support strategic initiatives.</t>
        </is>
      </c>
    </row>
    <row r="10">
      <c r="B10" s="5" t="inlineStr">
        <is>
          <t>Efficiency &amp; Cost Structure</t>
        </is>
      </c>
    </row>
    <row r="11" ht="60" customHeight="1">
      <c r="B11" t="inlineStr">
        <is>
          <t>Details:</t>
        </is>
      </c>
      <c r="C11" s="6" t="inlineStr">
        <is>
          <t>Operating expenses have accelerated significantly, growing 40.7% in FY26 and 44.8% in FY25. While this level of investment is intended to fuel future growth, its efficiency cannot be fully assessed without corresponding revenue data. The key determinant of success will be whether revenue growth is outpacing this rapid cost expansion, which is a critical unknown from the provided data.</t>
        </is>
      </c>
    </row>
    <row r="13">
      <c r="B13" s="5" t="inlineStr">
        <is>
          <t>Risk Signals</t>
        </is>
      </c>
    </row>
    <row r="14" ht="60" customHeight="1">
      <c r="B14" t="inlineStr">
        <is>
          <t>Details:</t>
        </is>
      </c>
      <c r="C14" s="6" t="inlineStr">
        <is>
          <t>The primary risk signal is the rapid escalation of the cost structure. A 40%+ annual growth in operating expenses creates a high hurdle for revenue. If top-line growth fails to materialize at a similar or higher rate, the company faces a significant 'Cost Expansion Risk' which would lead to severe margin compression. This analysis is contingent on future revenue performance.</t>
        </is>
      </c>
    </row>
    <row r="16">
      <c r="B16" s="5" t="inlineStr">
        <is>
          <t>Strategic Outlook</t>
        </is>
      </c>
    </row>
    <row r="17" ht="60" customHeight="1">
      <c r="B17" t="inlineStr">
        <is>
          <t>Details:</t>
        </is>
      </c>
      <c r="C17" s="6" t="inlineStr">
        <is>
          <t>Strong Expansion</t>
        </is>
      </c>
    </row>
    <row r="19">
      <c r="B19" s="7" t="inlineStr">
        <is>
          <t>Psiquis-X: Performance &amp; Framework Audit</t>
        </is>
      </c>
    </row>
    <row r="20">
      <c r="B20" t="inlineStr">
        <is>
          <t>Total Pipeline Latency:</t>
        </is>
      </c>
      <c r="C20" t="inlineStr">
        <is>
          <t>241.58 seconds</t>
        </is>
      </c>
    </row>
    <row r="21">
      <c r="B21" t="inlineStr">
        <is>
          <t>Engine Lifecycle (Nodes):</t>
        </is>
      </c>
      <c r="C21" s="8" t="inlineStr">
        <is>
          <t>INVESTIGATOR (192.5s) -&gt; PROSECUTOR (21.5s) -&gt; JUDGE (0.0s) -&gt; CFO_NARRATOR (27.6s)</t>
        </is>
      </c>
    </row>
  </sheetData>
  <mergeCells count="2">
    <mergeCell ref="B5:C5"/>
    <mergeCell ref="B2:C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s>
  <sheetData>
    <row r="1">
      <c r="A1" s="9" t="inlineStr">
        <is>
          <t>Metric Name</t>
        </is>
      </c>
      <c r="B1" s="9" t="inlineStr">
        <is>
          <t>Comparison Period</t>
        </is>
      </c>
      <c r="C1" s="9" t="inlineStr">
        <is>
          <t>Variance Growth %</t>
        </is>
      </c>
      <c r="D1" s="9" t="inlineStr">
        <is>
          <t>Coherence Flag</t>
        </is>
      </c>
    </row>
    <row r="2">
      <c r="A2" t="inlineStr">
        <is>
          <t>Total Operating Expenses YoY Growth</t>
        </is>
      </c>
      <c r="B2" s="10" t="inlineStr">
        <is>
          <t>FY26 vs FY25</t>
        </is>
      </c>
      <c r="C2" s="11" t="n">
        <v>0.407</v>
      </c>
      <c r="D2" s="12" t="inlineStr">
        <is>
          <t>OK</t>
        </is>
      </c>
    </row>
    <row r="3">
      <c r="A3" t="inlineStr">
        <is>
          <t>Total Operating Expenses YoY Growth</t>
        </is>
      </c>
      <c r="B3" s="10" t="inlineStr">
        <is>
          <t>FY25 vs FY24</t>
        </is>
      </c>
      <c r="C3" s="11" t="n">
        <v>0.448</v>
      </c>
      <c r="D3" s="12"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5" customWidth="1" min="1" max="1"/>
    <col width="25" customWidth="1" min="2" max="2"/>
    <col width="20" customWidth="1" min="3" max="3"/>
    <col width="20" customWidth="1" min="4" max="4"/>
    <col width="40" customWidth="1" min="5" max="5"/>
    <col width="25" customWidth="1" min="6" max="6"/>
    <col width="80" customWidth="1" min="7" max="7"/>
  </cols>
  <sheetData>
    <row r="1">
      <c r="A1" s="9" t="inlineStr">
        <is>
          <t>Fiscal Year</t>
        </is>
      </c>
      <c r="B1" s="9" t="inlineStr">
        <is>
          <t>Metric Name</t>
        </is>
      </c>
      <c r="C1" s="9" t="inlineStr">
        <is>
          <t>Value (Billions)</t>
        </is>
      </c>
      <c r="D1" s="9" t="inlineStr">
        <is>
          <t>GAAP Standard</t>
        </is>
      </c>
      <c r="E1" s="9" t="inlineStr">
        <is>
          <t>Source File</t>
        </is>
      </c>
      <c r="F1" s="9" t="inlineStr">
        <is>
          <t>Page Reference</t>
        </is>
      </c>
      <c r="G1" s="9" t="inlineStr">
        <is>
          <t>Literal Snippet</t>
        </is>
      </c>
    </row>
    <row r="2" ht="45" customHeight="1">
      <c r="A2" s="10" t="inlineStr">
        <is>
          <t>FY26</t>
        </is>
      </c>
      <c r="B2" t="inlineStr">
        <is>
          <t>Total Operating Expenses</t>
        </is>
      </c>
      <c r="C2" s="13" t="n">
        <v>23.076</v>
      </c>
      <c r="D2" s="10" t="inlineStr">
        <is>
          <t>GAAP</t>
        </is>
      </c>
      <c r="E2" s="10" t="inlineStr">
        <is>
          <t>Nvidia_Presentation_Q4_FY26.pdf</t>
        </is>
      </c>
      <c r="F2" s="14" t="inlineStr">
        <is>
          <t>37</t>
        </is>
      </c>
      <c r="G2" s="6" t="inlineStr">
        <is>
          <t>Operating expenses $ 23,076 $ 16,405 Up 41%</t>
        </is>
      </c>
    </row>
    <row r="3" ht="45" customHeight="1">
      <c r="A3" s="10" t="inlineStr">
        <is>
          <t>FY25</t>
        </is>
      </c>
      <c r="B3" t="inlineStr">
        <is>
          <t>Total Operating Expenses</t>
        </is>
      </c>
      <c r="C3" s="13" t="n">
        <v>16.405</v>
      </c>
      <c r="D3" s="10" t="inlineStr">
        <is>
          <t>GAAP</t>
        </is>
      </c>
      <c r="E3" s="10" t="inlineStr">
        <is>
          <t>Nvidia_Presentation_Q4_FY26.pdf</t>
        </is>
      </c>
      <c r="F3" s="14" t="inlineStr">
        <is>
          <t>37</t>
        </is>
      </c>
      <c r="G3" s="6" t="inlineStr">
        <is>
          <t>Operating expenses $ 23,076 $ 16,405 Up 41%</t>
        </is>
      </c>
    </row>
    <row r="4" ht="45" customHeight="1">
      <c r="A4" s="10" t="inlineStr">
        <is>
          <t>FY26</t>
        </is>
      </c>
      <c r="B4" t="inlineStr">
        <is>
          <t>Total Operating Expenses</t>
        </is>
      </c>
      <c r="C4" s="13" t="n">
        <v>23.076</v>
      </c>
      <c r="D4" s="10" t="inlineStr">
        <is>
          <t>GAAP</t>
        </is>
      </c>
      <c r="E4" s="10" t="inlineStr">
        <is>
          <t>Nvidia_Presentation_Q4_FY26.pdf</t>
        </is>
      </c>
      <c r="F4" s="14" t="inlineStr">
        <is>
          <t>41</t>
        </is>
      </c>
      <c r="G4" s="6" t="inlineStr">
        <is>
          <t>Total operating expenses $ 23,076</t>
        </is>
      </c>
    </row>
    <row r="5" ht="45" customHeight="1">
      <c r="A5" s="10" t="inlineStr">
        <is>
          <t>FY25</t>
        </is>
      </c>
      <c r="B5" t="inlineStr">
        <is>
          <t>Total Operating Expenses</t>
        </is>
      </c>
      <c r="C5" s="13" t="n">
        <v>16.405</v>
      </c>
      <c r="D5" s="10" t="inlineStr">
        <is>
          <t>GAAP</t>
        </is>
      </c>
      <c r="E5" s="10" t="inlineStr">
        <is>
          <t>Nvidia_Presentation_Q4_FY26.pdf</t>
        </is>
      </c>
      <c r="F5" s="14" t="inlineStr">
        <is>
          <t>41</t>
        </is>
      </c>
      <c r="G5" s="6" t="inlineStr">
        <is>
          <t>Total operating expenses $ 23,076 $ 16,405</t>
        </is>
      </c>
    </row>
    <row r="6" ht="45" customHeight="1">
      <c r="A6" s="10" t="inlineStr">
        <is>
          <t>FY26</t>
        </is>
      </c>
      <c r="B6" t="inlineStr">
        <is>
          <t>Total operating expenses</t>
        </is>
      </c>
      <c r="C6" s="13" t="n">
        <v>23.076</v>
      </c>
      <c r="D6" s="10" t="inlineStr">
        <is>
          <t>GAAP</t>
        </is>
      </c>
      <c r="E6" s="10" t="inlineStr">
        <is>
          <t>Nvidia_Presentation_Q4_FY26.pdf</t>
        </is>
      </c>
      <c r="F6" s="14" t="inlineStr">
        <is>
          <t>51</t>
        </is>
      </c>
      <c r="G6" s="6" t="inlineStr">
        <is>
          <t>Total operating expenses 23,076 16,405 11,329</t>
        </is>
      </c>
    </row>
    <row r="7" ht="45" customHeight="1">
      <c r="A7" s="10" t="inlineStr">
        <is>
          <t>FY25</t>
        </is>
      </c>
      <c r="B7" t="inlineStr">
        <is>
          <t>Total operating expenses</t>
        </is>
      </c>
      <c r="C7" s="13" t="n">
        <v>16.405</v>
      </c>
      <c r="D7" s="10" t="inlineStr">
        <is>
          <t>GAAP</t>
        </is>
      </c>
      <c r="E7" s="10" t="inlineStr">
        <is>
          <t>Nvidia_Presentation_Q4_FY26.pdf</t>
        </is>
      </c>
      <c r="F7" s="14" t="inlineStr">
        <is>
          <t>51</t>
        </is>
      </c>
      <c r="G7" s="6" t="inlineStr">
        <is>
          <t>Total operating expenses 23,076 16,405 11,329</t>
        </is>
      </c>
    </row>
    <row r="8" ht="45" customHeight="1">
      <c r="A8" s="10" t="inlineStr">
        <is>
          <t>FY24</t>
        </is>
      </c>
      <c r="B8" t="inlineStr">
        <is>
          <t>Total operating expenses</t>
        </is>
      </c>
      <c r="C8" s="13" t="n">
        <v>11.329</v>
      </c>
      <c r="D8" s="10" t="inlineStr">
        <is>
          <t>GAAP</t>
        </is>
      </c>
      <c r="E8" s="10" t="inlineStr">
        <is>
          <t>Nvidia_Presentation_Q4_FY26.pdf</t>
        </is>
      </c>
      <c r="F8" s="14" t="inlineStr">
        <is>
          <t>51</t>
        </is>
      </c>
      <c r="G8" s="6" t="inlineStr">
        <is>
          <t>Total operating expenses 23,076 16,405 11,329</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2026-03-06T08:35:04Z</dcterms:created>
  <dcterms:modified xsi:type="dcterms:W3CDTF">2026-03-06T08:35:04Z</dcterms:modified>
</cp:coreProperties>
</file>